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R.26" sheetId="1" r:id="rId5"/>
    <sheet state="visible" name="FEV.26" sheetId="2" r:id="rId6"/>
    <sheet state="visible" name="JAN.26" sheetId="3" r:id="rId7"/>
    <sheet state="visible" name="DADOS" sheetId="4" r:id="rId8"/>
  </sheets>
  <definedNames>
    <definedName hidden="1" localSheetId="1" name="_xlnm._FilterDatabase">FEV.26!$B$1:$BR$128</definedName>
    <definedName hidden="1" localSheetId="3" name="_xlnm._FilterDatabase">DADOS!$A$1:$F$19</definedName>
    <definedName hidden="1" localSheetId="0" name="Z_D5C2A8B5_33A9_4EC5_8782_47B18965D54F_.wvu.FilterData">MAR.26!$B$4:$BN$98</definedName>
    <definedName hidden="1" localSheetId="1" name="Z_D5C2A8B5_33A9_4EC5_8782_47B18965D54F_.wvu.FilterData">FEV.26!$B$4:$BN$109</definedName>
    <definedName hidden="1" localSheetId="2" name="Z_D5C2A8B5_33A9_4EC5_8782_47B18965D54F_.wvu.FilterData">JAN.26!$B$4:$BN$113</definedName>
    <definedName hidden="1" localSheetId="0" name="Z_83D32205_562F_4991_95AA_5511EE3C8ED8_.wvu.FilterData">MAR.26!$B$4:$BK$98</definedName>
    <definedName hidden="1" localSheetId="1" name="Z_83D32205_562F_4991_95AA_5511EE3C8ED8_.wvu.FilterData">FEV.26!$B$4:$BK$109</definedName>
    <definedName hidden="1" localSheetId="2" name="Z_83D32205_562F_4991_95AA_5511EE3C8ED8_.wvu.FilterData">JAN.26!$B$4:$BK$113</definedName>
    <definedName hidden="1" localSheetId="0" name="Z_B83BCCE7_8166_4018_A26F_41B63253B006_.wvu.FilterData">MAR.26!$A$4:$BT$117</definedName>
    <definedName hidden="1" localSheetId="1" name="Z_B83BCCE7_8166_4018_A26F_41B63253B006_.wvu.FilterData">FEV.26!$A$4:$BT$128</definedName>
    <definedName hidden="1" localSheetId="2" name="Z_B83BCCE7_8166_4018_A26F_41B63253B006_.wvu.FilterData">JAN.26!$A$4:$BT$132</definedName>
    <definedName hidden="1" localSheetId="0" name="Z_B100B79F_8789_4C01_9386_D3CEB6F39D64_.wvu.FilterData">MAR.26!$A$4:$BT$121</definedName>
    <definedName hidden="1" localSheetId="1" name="Z_B100B79F_8789_4C01_9386_D3CEB6F39D64_.wvu.FilterData">FEV.26!$A$4:$BT$132</definedName>
    <definedName hidden="1" localSheetId="2" name="Z_B100B79F_8789_4C01_9386_D3CEB6F39D64_.wvu.FilterData">JAN.26!$A$4:$BT$136</definedName>
    <definedName hidden="1" localSheetId="0" name="Z_08130FF8_AD9F_4EB3_9789_0769F9EBFE4B_.wvu.FilterData">MAR.26!$B$4:$BN$98</definedName>
    <definedName hidden="1" localSheetId="1" name="Z_08130FF8_AD9F_4EB3_9789_0769F9EBFE4B_.wvu.FilterData">FEV.26!$B$4:$BN$109</definedName>
    <definedName hidden="1" localSheetId="2" name="Z_08130FF8_AD9F_4EB3_9789_0769F9EBFE4B_.wvu.FilterData">JAN.26!$B$4:$BN$113</definedName>
    <definedName hidden="1" localSheetId="0" name="Z_981EEA94_EFD8_451F_A1FE_7FC08DA18AB1_.wvu.FilterData">MAR.26!$B$4:$BN$98</definedName>
    <definedName hidden="1" localSheetId="1" name="Z_981EEA94_EFD8_451F_A1FE_7FC08DA18AB1_.wvu.FilterData">FEV.26!$B$4:$BN$109</definedName>
    <definedName hidden="1" localSheetId="2" name="Z_981EEA94_EFD8_451F_A1FE_7FC08DA18AB1_.wvu.FilterData">JAN.26!$B$4:$BN$113</definedName>
    <definedName hidden="1" localSheetId="0" name="Z_49862277_0B5D_4FB2_9F6A_073F49D2976A_.wvu.FilterData">MAR.26!$A$4:$BK$98</definedName>
    <definedName hidden="1" localSheetId="1" name="Z_49862277_0B5D_4FB2_9F6A_073F49D2976A_.wvu.FilterData">FEV.26!$A$4:$BR$109</definedName>
    <definedName hidden="1" localSheetId="2" name="Z_49862277_0B5D_4FB2_9F6A_073F49D2976A_.wvu.FilterData">JAN.26!$A$4:$BK$113</definedName>
    <definedName hidden="1" localSheetId="0" name="Z_16A77DD8_B4AF_4DC1_BADA_9F450A5CC0A7_.wvu.FilterData">MAR.26!$B$4:$AZ$98</definedName>
    <definedName hidden="1" localSheetId="1" name="Z_16A77DD8_B4AF_4DC1_BADA_9F450A5CC0A7_.wvu.FilterData">FEV.26!$B$4:$AZ$109</definedName>
    <definedName hidden="1" localSheetId="2" name="Z_16A77DD8_B4AF_4DC1_BADA_9F450A5CC0A7_.wvu.FilterData">JAN.26!$B$4:$AZ$113</definedName>
    <definedName hidden="1" localSheetId="0" name="Z_675F3DF2_44DD_497D_98CA_3C10FB386C95_.wvu.FilterData">MAR.26!$A$4:$BT$117</definedName>
    <definedName hidden="1" localSheetId="1" name="Z_675F3DF2_44DD_497D_98CA_3C10FB386C95_.wvu.FilterData">FEV.26!$A$4:$BT$128</definedName>
    <definedName hidden="1" localSheetId="2" name="Z_675F3DF2_44DD_497D_98CA_3C10FB386C95_.wvu.FilterData">JAN.26!$A$4:$BT$132</definedName>
    <definedName hidden="1" localSheetId="0" name="Z_CF77F75F_8BE2_4D22_8039_81D2128A1098_.wvu.FilterData">MAR.26!$A$4:$BR$98</definedName>
    <definedName hidden="1" localSheetId="1" name="Z_CF77F75F_8BE2_4D22_8039_81D2128A1098_.wvu.FilterData">FEV.26!$A$4:$BR$109</definedName>
    <definedName hidden="1" localSheetId="2" name="Z_CF77F75F_8BE2_4D22_8039_81D2128A1098_.wvu.FilterData">JAN.26!$A$4:$BR$113</definedName>
    <definedName hidden="1" localSheetId="0" name="Z_677A84DB_6ADA_47C5_AF03_82CD5A37879F_.wvu.FilterData">MAR.26!$A$4:$BN$98</definedName>
    <definedName hidden="1" localSheetId="1" name="Z_677A84DB_6ADA_47C5_AF03_82CD5A37879F_.wvu.FilterData">FEV.26!$A$4:$BN$109</definedName>
    <definedName hidden="1" localSheetId="2" name="Z_677A84DB_6ADA_47C5_AF03_82CD5A37879F_.wvu.FilterData">JAN.26!$A$4:$BN$113</definedName>
    <definedName hidden="1" localSheetId="0" name="Z_88BF03F9_A857_49DB_B6C2_C94AB5F03FD0_.wvu.FilterData">MAR.26!$B$4:$BN$98</definedName>
    <definedName hidden="1" localSheetId="1" name="Z_88BF03F9_A857_49DB_B6C2_C94AB5F03FD0_.wvu.FilterData">FEV.26!$B$4:$BN$109</definedName>
    <definedName hidden="1" localSheetId="2" name="Z_88BF03F9_A857_49DB_B6C2_C94AB5F03FD0_.wvu.FilterData">JAN.26!$B$4:$BN$113</definedName>
    <definedName hidden="1" localSheetId="0" name="Z_ADF1A625_8591_4694_B499_25F55BE5D555_.wvu.FilterData">MAR.26!$A$4:$BR$98</definedName>
    <definedName hidden="1" localSheetId="1" name="Z_ADF1A625_8591_4694_B499_25F55BE5D555_.wvu.FilterData">FEV.26!$A$4:$BR$109</definedName>
    <definedName hidden="1" localSheetId="2" name="Z_ADF1A625_8591_4694_B499_25F55BE5D555_.wvu.FilterData">JAN.26!$A$4:$BR$113</definedName>
    <definedName hidden="1" localSheetId="0" name="Z_9D0B389F_B4FA_435D_866B_74BA04343AE2_.wvu.FilterData">MAR.26!$B$4:$AZ$98</definedName>
    <definedName hidden="1" localSheetId="1" name="Z_9D0B389F_B4FA_435D_866B_74BA04343AE2_.wvu.FilterData">FEV.26!$B$4:$AZ$109</definedName>
    <definedName hidden="1" localSheetId="2" name="Z_9D0B389F_B4FA_435D_866B_74BA04343AE2_.wvu.FilterData">JAN.26!$B$4:$AZ$113</definedName>
    <definedName hidden="1" localSheetId="0" name="Z_8D149EEA_5E81_4E50_B209_18C149599FDB_.wvu.FilterData">MAR.26!$B$4:$BK$98</definedName>
    <definedName hidden="1" localSheetId="1" name="Z_8D149EEA_5E81_4E50_B209_18C149599FDB_.wvu.FilterData">FEV.26!$B$4:$BK$109</definedName>
    <definedName hidden="1" localSheetId="2" name="Z_8D149EEA_5E81_4E50_B209_18C149599FDB_.wvu.FilterData">JAN.26!$B$4:$BK$113</definedName>
    <definedName hidden="1" localSheetId="1" name="Z_73CF846F_0A11_46D3_B520_F54C6ABE4AD1_.wvu.FilterData">FEV.26!$B$1:$BR$128</definedName>
    <definedName hidden="1" localSheetId="0" name="Z_F895B085_6CC2_4ABF_9753_E0466EFB8513_.wvu.FilterData">MAR.26!$B$4:$AZ$98</definedName>
    <definedName hidden="1" localSheetId="1" name="Z_F895B085_6CC2_4ABF_9753_E0466EFB8513_.wvu.FilterData">FEV.26!$B$4:$AZ$109</definedName>
    <definedName hidden="1" localSheetId="2" name="Z_F895B085_6CC2_4ABF_9753_E0466EFB8513_.wvu.FilterData">JAN.26!$B$4:$AZ$113</definedName>
    <definedName hidden="1" localSheetId="0" name="Z_C39A4092_40AA_4ECF_975F_107A5E13615A_.wvu.FilterData">MAR.26!$B$4:$BN$98</definedName>
    <definedName hidden="1" localSheetId="1" name="Z_C39A4092_40AA_4ECF_975F_107A5E13615A_.wvu.FilterData">FEV.26!$B$4:$BN$109</definedName>
    <definedName hidden="1" localSheetId="2" name="Z_C39A4092_40AA_4ECF_975F_107A5E13615A_.wvu.FilterData">JAN.26!$B$4:$BN$113</definedName>
    <definedName hidden="1" localSheetId="0" name="Z_941F1DC7_A4D1_4A47_B07C_9F9980B91937_.wvu.FilterData">MAR.26!$A$4:$BR$98</definedName>
    <definedName hidden="1" localSheetId="1" name="Z_941F1DC7_A4D1_4A47_B07C_9F9980B91937_.wvu.FilterData">FEV.26!$A$4:$BR$109</definedName>
    <definedName hidden="1" localSheetId="2" name="Z_941F1DC7_A4D1_4A47_B07C_9F9980B91937_.wvu.FilterData">JAN.26!$A$4:$BR$113</definedName>
  </definedNames>
  <calcPr/>
  <customWorkbookViews>
    <customWorkbookView activeSheetId="0" maximized="1" windowHeight="0" windowWidth="0" guid="{73CF846F-0A11-46D3-B520-F54C6ABE4AD1}" name="joao victor"/>
    <customWorkbookView activeSheetId="0" maximized="1" windowHeight="0" windowWidth="0" guid="{CF77F75F-8BE2-4D22-8039-81D2128A1098}" name="GILVANDO"/>
    <customWorkbookView activeSheetId="0" maximized="1" windowHeight="0" windowWidth="0" guid="{08130FF8-AD9F-4EB3-9789-0769F9EBFE4B}" name="ETEMILSON"/>
    <customWorkbookView activeSheetId="0" maximized="1" windowHeight="0" windowWidth="0" guid="{B100B79F-8789-4C01-9386-D3CEB6F39D64}" name="ABNER"/>
    <customWorkbookView activeSheetId="0" maximized="1" windowHeight="0" windowWidth="0" guid="{8D149EEA-5E81-4E50-B209-18C149599FDB}" name="AQUILES"/>
    <customWorkbookView activeSheetId="0" maximized="1" windowHeight="0" windowWidth="0" guid="{677A84DB-6ADA-47C5-AF03-82CD5A37879F}" name="JOÃO PEDRO"/>
    <customWorkbookView activeSheetId="0" maximized="1" windowHeight="0" windowWidth="0" guid="{C39A4092-40AA-4ECF-975F-107A5E13615A}" name="FELIPE"/>
    <customWorkbookView activeSheetId="0" maximized="1" windowHeight="0" windowWidth="0" guid="{49862277-0B5D-4FB2-9F6A-073F49D2976A}" name="1 RENE 2"/>
    <customWorkbookView activeSheetId="0" maximized="1" windowHeight="0" windowWidth="0" guid="{9D0B389F-B4FA-435D-866B-74BA04343AE2}" name="RANIEL"/>
    <customWorkbookView activeSheetId="0" maximized="1" windowHeight="0" windowWidth="0" guid="{981EEA94-EFD8-451F-A1FE-7FC08DA18AB1}" name="ALECIO"/>
    <customWorkbookView activeSheetId="0" maximized="1" windowHeight="0" windowWidth="0" guid="{B83BCCE7-8166-4018-A26F-41B63253B006}" name="EUGÊNIO-2"/>
    <customWorkbookView activeSheetId="0" maximized="1" windowHeight="0" windowWidth="0" guid="{941F1DC7-A4D1-4A47-B07C-9F9980B91937}" name="MÁRCIA"/>
    <customWorkbookView activeSheetId="0" maximized="1" windowHeight="0" windowWidth="0" guid="{F895B085-6CC2-4ABF-9753-E0466EFB8513}" name="JAILTON"/>
    <customWorkbookView activeSheetId="0" maximized="1" windowHeight="0" windowWidth="0" guid="{16A77DD8-B4AF-4DC1-BADA-9F450A5CC0A7}" name="JOSÉ CARLOS"/>
    <customWorkbookView activeSheetId="0" maximized="1" windowHeight="0" windowWidth="0" guid="{83D32205-562F-4991-95AA-5511EE3C8ED8}" name="SILAS"/>
    <customWorkbookView activeSheetId="0" maximized="1" windowHeight="0" windowWidth="0" guid="{88BF03F9-A857-49DB-B6C2-C94AB5F03FD0}" name="DURVAL"/>
    <customWorkbookView activeSheetId="0" maximized="1" windowHeight="0" windowWidth="0" guid="{675F3DF2-44DD-497D-98CA-3C10FB386C95}" name="EUGÊNIO"/>
    <customWorkbookView activeSheetId="0" maximized="1" windowHeight="0" windowWidth="0" guid="{ADF1A625-8591-4694-B499-25F55BE5D555}" name="1 RENE"/>
    <customWorkbookView activeSheetId="0" maximized="1" windowHeight="0" windowWidth="0" guid="{D5C2A8B5-33A9-4EC5-8782-47B18965D54F}" name="RENATO"/>
  </customWorkbookView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S4">
      <text>
        <t xml:space="preserve">INTERCALAR POSTE AT COM XXX ENTRE OS PG: XXX FECHAR CHAVE NOVA PRÓXIMO AO PG: XXX E ENERGIZAR OBRA.
ALTERAR ESTRUTURA DE XXX NO PG: XXX FECHAR CHAVE NOVA PRÓXIMO AO PG: XXX E ENERGIZAR OBRA.
MONTAR BANCADA COM XXX NO PG: XXX  FECHAR CHAVE NOVA PRÓXIMO AO PG: XXX E ENERGIZAR OBRA.
INTERCALAR POSTE AT COM XXX ENTRE OS PG: XXX ENCABEÇAR RD BT NO PG: XXX E ENERGIZAR OBRA.
SUBSTITUIR POSTE  AT XXX NO PG: XXX E ENERGIZAR OBRA.
ADICIONAR FASE DO PG: XXX AO XXX E ENERGIZAR OBRA.
</t>
      </text>
    </comment>
    <comment authorId="0" ref="U4">
      <text>
        <t xml:space="preserve">SUBSTITUIR POSTES BT POR AT DO PG: XXX E ENERGIZAR OBRA.
SUBSTITUIR POSTE BT POR AT NO PG: XXX E ENERGIZAR OBRA.</t>
      </text>
    </comment>
    <comment authorId="0" ref="V4">
      <text>
        <t xml:space="preserve">ENCABEÇAR RD BT NO PG: XXX E ENERGIZAR OBRA.
FECHAR CHAVE NOVA PRÓXIMO AO PG: XXX E ENERGIZAR OBRA.
FECHAR CHAVE DO TRAFO NOVO PRÓXIMO AO PG: XXX E ENERGIZAR OBRA.
INTRECALAR POSTE BT ENTRE OS PG: XXX E ENERGIZAR OBRA.</t>
      </text>
    </comment>
    <comment authorId="0" ref="X4">
      <text>
        <t xml:space="preserve">ABRIR CHAVE: XXX P/ ADICIONAR FASE DO PG: XXX AO XXX E ENERGIZAR OBRA.
</t>
      </text>
    </comment>
    <comment authorId="0" ref="BA4">
      <text>
        <t xml:space="preserve">LV:
USAR EPI/EPC 13,8KV / SOLICITAR BLOQUEIO DO RL XXXX  / CRUZAMENTO DE LT/RD: N/A. 
LM:
USAR EPI/EPC 13,8KV / ATERRAMENTO: NA / BLOQUEIO RL N/A / CRUZAMENTO DE LT/RD: N/A.
LV:
USAR EPI/EPC  34,5KV/ SOLICITAR BLOQUEIO DO RL XXXX  / CRUZAMENTO DE LT/RD: N/A.               
LM:  
USAR EPI/EPC  34,5KV / ATERRAMENTO: NA / BLOQUEIO RL N/A / CRUZAMENTO DE LT/RD: N/A.</t>
      </text>
    </comment>
    <comment authorId="0" ref="BD4">
      <text>
        <t xml:space="preserve">&lt;250 UCS, CHI &lt;500 APROVAÇÃO AUTOMÁTICA. OBS: REDE DE 34.5KV SOMENTE ABERTURA DE TRAFO.
&gt;250 UCS APROVAÇÃO MANUAL </t>
      </text>
    </comment>
    <comment authorId="0" ref="BF4">
      <text>
        <t xml:space="preserve">QUANTIDADE MÁXIMA 6H</t>
      </text>
    </comment>
    <comment authorId="0" ref="BG4">
      <text>
        <t xml:space="preserve">CHI &gt; 1200 REQUER APROVAÇÃO 
CHI &lt; 500 EM REDES DE 13.8KV APROVAÇÃO AUTOMÁTICA 
CHI &gt; 500 APROVAÇÃO MANUAL
ABERTURA DE CHAVES EM REDES DE 34.5KV APROVAÇÃO MANUAL, EXCETO CHAVES DE TRAFO COM CHI &lt;500. </t>
      </text>
    </comment>
    <comment authorId="0" ref="BK4">
      <text>
        <t xml:space="preserve">INFORMAÇÕES SI DE PG 
MRA148601
CLEBSON 
92 99181-3705
GERAR NÚMEROS DE BARRAMENTOS PARA OS POSTES DA OBRA EM QUESTÃO.
961668
RAFAEL SANTOS DA CRUZ
107662
NATALICIO
OBRA 
B-1090041
PGS DESTINADOS A OBRA XXX POIS A MESMA NÃO ESTÁ CADASTRADA NO SGSI.</t>
      </text>
    </comment>
    <comment authorId="0" ref="V5">
      <text>
        <t xml:space="preserve">ENCABEÇAR RD BT NO PG: L432598 E ENERGIZAR OBRA.
</t>
      </text>
    </comment>
    <comment authorId="0" ref="S6">
      <text>
        <t xml:space="preserve">INTERCALAR POSTE AT COM N1-3 ENTRE OS PG: L434970 - L434969, FECHAR CHAVE NOVA PRÓXIMO AO PG: L434970  E ENERGIZAR OBRA.
</t>
      </text>
    </comment>
    <comment authorId="0" ref="V6">
      <text>
        <t xml:space="preserve">FECHAR CHAVE NOVA PRÓXIMO AO PG: L434970  E ENERGIZAR OBRA.</t>
      </text>
    </comment>
    <comment authorId="0" ref="S7">
      <text>
        <t xml:space="preserve">INTERCALAR POSTE AT COM N1 E TRAFO ENTRE OS PG: D217416 - D217415, FECHAR CHAVE NOVA PRÓXIMO AO PG: D217416  E ENERGIZAR OBRA.
</t>
      </text>
    </comment>
    <comment authorId="0" ref="V7">
      <text>
        <t xml:space="preserve">FECHAR CHAVE NOVA PRÓXIMO AO PG: D217416  E ENERGIZAR OBRA.</t>
      </text>
    </comment>
    <comment authorId="0" ref="S11">
      <text>
        <t xml:space="preserve">ADICIONAR FASE DO PG: R032902 AO R031899, INTERCALAR PT AT C/ N4 CFU ENTRE OS PG: R031909 -  E ENERGIZAR OBRA.</t>
      </text>
    </comment>
    <comment authorId="0" ref="X11">
      <text>
        <t xml:space="preserve">ABRIR CHAVE: J08308 P/ ADICIONAR FASE DO PG: R031899 AO R031909 - R031910 E ENERGIZAR OBRA.
</t>
      </text>
    </comment>
    <comment authorId="0" ref="BA11">
      <text>
        <t xml:space="preserve">LV:
USAR EPI/EPC 13,8KV / SOLICITAR BLOQUEIO DO RL XXXX  / CRUZAMENTO DE LT/RD: N/A. 
LM:
USAR EPI/EPC 13,8KV / ATERRAMENTO: NA / BLOQUEIO RL N/A / CRUZAMENTO DE LT/RD: N/A.</t>
      </text>
    </comment>
    <comment authorId="0" ref="BB11">
      <text>
        <t xml:space="preserve">LV - JACOBINA
01. QTD EQUIPES 01 LV / 01 LM/ 02. AR U460544 - NAILTON SANTANA/ 03. SUBST MRA370581 - PATRICIO DA SILVA BARBOSA 92 991473742/ 04. SUBST NTS884580 - CARLOS ANDRE SANTOS DA SILVA/ 05. SUBST .NTS333599 - JUCELINO DOS SANTOS  06. SUBST .MRA148601- CLEBSON REIS NETO 07.  SUBST .MRA666519-DOUGLAS DA SILVA MELO 08. SUBST .MRA096553-RODRIGO STS. SILVA 09. SUBST .MRA152590 - EMERSON DE CARVALHO </t>
      </text>
    </comment>
    <comment authorId="0" ref="S13">
      <text>
        <t xml:space="preserve">INTERCALAR POSTE AT COM N1 E TRAFO ENTRE OS PG: R030543 - R030542, FECHAR CHAVE NOVA PRÓXIMO AO PG: R030543  E ENERGIZAR OBRA.
</t>
      </text>
    </comment>
    <comment authorId="0" ref="V13">
      <text>
        <t xml:space="preserve">FECHAR CHAVE NOVA PRÓXIMO AO PG: R030543  E ENERGIZAR OBRA.</t>
      </text>
    </comment>
    <comment authorId="0" ref="V14">
      <text>
        <t xml:space="preserve">ENCABEÇAR RD BT NO PG: B539332 E ENERGIZAR OBRA.
</t>
      </text>
    </comment>
    <comment authorId="0" ref="S16">
      <text>
        <t xml:space="preserve">ALTERAR ESTRUTURA DE N3 P/ N4 NO PG: B992842, FECHAR CHAVE NOVA PRÓXIMO AO PG: B992842 E ENERGIZAR OBRA.
</t>
      </text>
    </comment>
    <comment authorId="0" ref="U16">
      <text>
        <t xml:space="preserve">SUBSTITUIR POSTES BT POR AT DO PG: B992843 AO B992846 E ENERGIZAR OBRA.
</t>
      </text>
    </comment>
    <comment authorId="0" ref="V16">
      <text>
        <t xml:space="preserve">FECHAR CHAVE NOVA PRÓXIMO AO PG: B992842 E ENERGIZAR OBRA.
</t>
      </text>
    </comment>
    <comment authorId="0" ref="BA16">
      <text>
        <t xml:space="preserve">LV:
USAR EPI/EPC 13,8KV / SOLICITAR BLOQUEIO DO RL XXXX  / CRUZAMENTO DE LT/RD: N/A. 
LM:
USAR EPI/EPC 13,8KV / ATERRAMENTO: NA / BLOQUEIO RL N/A / CRUZAMENTO DE LT/RD: N/A.</t>
      </text>
    </comment>
    <comment authorId="0" ref="BB16">
      <text>
        <t xml:space="preserve">LV - JACOBINA
01. QTD EQUIPES 01 LV / 01 LM/ 02. AR U460544 - NAILTON SANTANA/ 03. SUBST MRA370581 - PATRICIO DA SILVA BARBOSA 92 991473742/ 04. SUBST NTS884580 - CARLOS ANDRE SANTOS DA SILVA/ 05. SUBST .NTS333599 - JUCELINO DOS SANTOS  06. SUBST .MRA148601- CLEBSON REIS NETO 07.  SUBST .MRA666519-DOUGLAS DA SILVA MELO 08. SUBST .MRA096553-RODRIGO STS. SILVA 09. SUBST .MRA152590 - EMERSON DE CARVALHO </t>
      </text>
    </comment>
    <comment authorId="0" ref="S20">
      <text>
        <t xml:space="preserve">ALTERAR ESTRUTURA DE N3 P/ N4-4 NO PG: L392615, FECHAR CHAVE NOVA PRÓXIMO AO PG: L392615 E ENERGIZAR OBRA.
</t>
      </text>
    </comment>
    <comment authorId="0" ref="V20">
      <text>
        <t xml:space="preserve">FECHAR CHAVE NOVA PRÓXIMO AO PG: L392615 E ENERGIZAR OBRA.</t>
      </text>
    </comment>
    <comment authorId="0" ref="S22">
      <text>
        <t xml:space="preserve">INTERCALAR POSTE AT COM N1-3 ENTRE OS PG: D548038 - D548039, FECHAR CHAVE NOVA PRÓXIMO AO PG: D548038 E ENERGIZAR OBRA.
</t>
      </text>
    </comment>
    <comment authorId="0" ref="V22">
      <text>
        <t xml:space="preserve">FECHAR CHAVE NOVA PRÓXIMO AO PG: D548038 E ENERGIZAR OBRA.
</t>
      </text>
    </comment>
    <comment authorId="0" ref="S23">
      <text>
        <t xml:space="preserve">INTERCALAR POSTE AT COM N-1-1 E TRAFO ENTRE OS PG: L398307 - L398312,  FECHAR CHAVE NOVA PRÓXIMO AO PG: L382183 E ENERGIZAR OBRA.
</t>
      </text>
    </comment>
    <comment authorId="0" ref="V23">
      <text>
        <t xml:space="preserve">FECHAR CHAVE NOVA PRÓXIMO AO PG: L382183 E ENERGIZAR OBRA.
</t>
      </text>
    </comment>
    <comment authorId="0" ref="S25">
      <text>
        <t xml:space="preserve">INTERCALAR POSTE AT COM N1-3 ENTRE OS PG: A467930 - A467929, FECHAR CHAVE NOVA PRÓXIMO AO PG: A467930  E ENERGIZAR OBRA.
</t>
      </text>
    </comment>
    <comment authorId="0" ref="V25">
      <text>
        <t xml:space="preserve">FECHAR CHAVE NOVA PRÓXIMO AO PG: A467930  E ENERGIZAR OBRA.</t>
      </text>
    </comment>
    <comment authorId="0" ref="BA25">
      <text>
        <t xml:space="preserve">LV:
USAR EPI/EPC 13,8KV / SOLICITAR BLOQUEIO DO RL XXXX  / CRUZAMENTO DE LT/RD: N/A. 
LM:
USAR EPI/EPC 13,8KV / ATERRAMENTO: NA / BLOQUEIO RL N/A / CRUZAMENTO DE LT/RD: N/A.</t>
      </text>
    </comment>
    <comment authorId="0" ref="BB25">
      <text>
        <t xml:space="preserve">LV - JACOBINA
01. QTD EQUIPES 01 LV / 01 LM/ 02. AR U460544 - NAILTON SANTANA/ 03. SUBST MRA370581 - PATRICIO DA SILVA BARBOSA 92 991473742/ 04. SUBST NTS884580 - CARLOS ANDRE SANTOS DA SILVA/ 05. SUBST .NTS333599 - JUCELINO DOS SANTOS  06. SUBST .MRA148601- CLEBSON REIS NETO 07.  SUBST .MRA666519-DOUGLAS DA SILVA MELO 08. SUBST .MRA096553-RODRIGO STS. SILVA 09. SUBST .MRA152590 - EMERSON DE CARVALHO </t>
      </text>
    </comment>
    <comment authorId="0" ref="S26">
      <text>
        <t xml:space="preserve">INTERCALAR POSTE AT COM N1 E TRAFO ENTRE OS PG: D244767 - D244768, FECHAR CHAVE NOVA PRÓXIMO AO PG: D244767 E ENERGIZAR OBRA.
</t>
      </text>
    </comment>
    <comment authorId="0" ref="V26">
      <text>
        <t xml:space="preserve">FECHAR CHAVE NOVA PRÓXIMO AO PG: D244767 E ENERGIZAR OBRA.
</t>
      </text>
    </comment>
    <comment authorId="0" ref="BA26">
      <text>
        <t xml:space="preserve">LV:
USAR EPI/EPC 13,8KV / SOLICITAR BLOQUEIO DO RL XXXX  / CRUZAMENTO DE LT/RD: N/A. 
LM:
USAR EPI/EPC 13,8KV / ATERRAMENTO: NA / BLOQUEIO RL N/A / CRUZAMENTO DE LT/RD: N/A.</t>
      </text>
    </comment>
    <comment authorId="0" ref="BB26">
      <text>
        <t xml:space="preserve">LV - JACOBINA
01. QTD EQUIPES 01 LV / 01 LM/ 02. AR U460544 - NAILTON SANTANA/ 03. SUBST MRA370581 - PATRICIO DA SILVA BARBOSA 92 991473742/ 04. SUBST NTS884580 - CARLOS ANDRE SANTOS DA SILVA/ 05. SUBST .NTS333599 - JUCELINO DOS SANTOS  06. SUBST .MRA148601- CLEBSON REIS NETO 07.  SUBST .MRA666519-DOUGLAS DA SILVA MELO 08. SUBST .MRA096553-RODRIGO STS. SILVA 09. SUBST .MRA152590 - EMERSON DE CARVALHO </t>
      </text>
    </comment>
    <comment authorId="0" ref="S27">
      <text>
        <t xml:space="preserve">INTERCALAR POSTE AT COM N1-3 ENTRE OS PG: D093566 - D093567, FECHAR CHAVE NOVA PRÓXIMO AO PG: D093567 E ENERGIZAR OBRA.
</t>
      </text>
    </comment>
    <comment authorId="0" ref="V27">
      <text>
        <t xml:space="preserve">FECHAR CHAVE NOVA PRÓXIMO AO PG: D093567 E ENERGIZAR OBRA.</t>
      </text>
    </comment>
    <comment authorId="0" ref="BA27">
      <text>
        <t xml:space="preserve">LV:
USAR EPI/EPC 13,8KV / SOLICITAR BLOQUEIO DO RL XXXX  / CRUZAMENTO DE LT/RD: N/A. 
LM:
USAR EPI/EPC 13,8KV / ATERRAMENTO: NA / BLOQUEIO RL N/A / CRUZAMENTO DE LT/RD: N/A.</t>
      </text>
    </comment>
    <comment authorId="0" ref="BB27">
      <text>
        <t xml:space="preserve">LV - JACOBINA
01. QTD EQUIPES 01 LV / 01 LM/ 02. AR U460544 - NAILTON SANTANA/ 03. SUBST MRA370581 - PATRICIO DA SILVA BARBOSA 92 991473742/ 04. SUBST NTS884580 - CARLOS ANDRE SANTOS DA SILVA/ 05. SUBST .NTS333599 - JUCELINO DOS SANTOS  06. SUBST .MRA148601- CLEBSON REIS NETO 07.  SUBST .MRA666519-DOUGLAS DA SILVA MELO 08. SUBST .MRA096553-RODRIGO STS. SILVA 09. SUBST .MRA152590 - EMERSON DE CARVALHO </t>
      </text>
    </comment>
    <comment authorId="0" ref="S28">
      <text>
        <t xml:space="preserve">ADICIONAR FASE DO PG: D383767 AO D535239 E ENERGIZAR OBRA.
</t>
      </text>
    </comment>
    <comment authorId="0" ref="X28">
      <text>
        <t xml:space="preserve">ABRIR CHAVE: N02285  P/ ADICIONAR FASE DO PG: D535239 AO D535237, SUBST. TF: N12476, SUBST. RD BT AT O PG: D535237 E  ENERGIZAR OBRA.
</t>
      </text>
    </comment>
    <comment authorId="0" ref="BA28">
      <text>
        <t xml:space="preserve">LV:
USAR EPI/EPC 13,8KV / SOLICITAR BLOQUEIO DO RL XXXX  / CRUZAMENTO DE LT/RD: N/A. 
LM:
USAR EPI/EPC 13,8KV / ATERRAMENTO: NA / BLOQUEIO RL N/A / CRUZAMENTO DE LT/RD: N/A.</t>
      </text>
    </comment>
    <comment authorId="0" ref="BB28">
      <text>
        <t xml:space="preserve">LV - JACOBINA
01. QTD EQUIPES 01 LV / 01 LM/ 02. AR U460544 - NAILTON SANTANA/ 03. SUBST MRA370581 - PATRICIO DA SILVA BARBOSA 92 991473742/ 04. SUBST NTS884580 - CARLOS ANDRE SANTOS DA SILVA/ 05. SUBST .NTS333599 - JUCELINO DOS SANTOS  06. SUBST .MRA148601- CLEBSON REIS NETO 07.  SUBST .MRA666519-DOUGLAS DA SILVA MELO 08. SUBST .MRA096553-RODRIGO STS. SILVA 09. SUBST .MRA152590 - EMERSON DE CARVALHO </t>
      </text>
    </comment>
    <comment authorId="0" ref="BK28">
      <text>
        <t xml:space="preserve">ADICIONAR FASE DO PG: D383767 AO D535239 E ENERGIZAR OBRA.
</t>
      </text>
    </comment>
    <comment authorId="0" ref="V30">
      <text>
        <t xml:space="preserve">ENCABEÇAR RD BT NO PG: B923188 E ENERGIZAR OBRA.
</t>
      </text>
    </comment>
    <comment authorId="0" ref="S31">
      <text>
        <t xml:space="preserve">INTERCALAR POSTE AT COM N1 E TRAFO ENTRE OS PG: D184262 - D184350, FECHAR CHAVE NOVA PRÓXIMO AO PG: D184262  E ENERGIZAR OBRA.
</t>
      </text>
    </comment>
    <comment authorId="0" ref="V31">
      <text>
        <t xml:space="preserve">FECHAR CHAVE NOVA PRÓXIMO AO PG: D184262  E ENERGIZAR OBRA.</t>
      </text>
    </comment>
    <comment authorId="0" ref="S32">
      <text>
        <t xml:space="preserve">INTERCALAR POSTE AT COM N1 ENTRE OS PG: D103574 - D103578, ENCABEÇAR RD BT NO PG: R071904 E ENERGIZAR OBRA.
</t>
      </text>
    </comment>
    <comment authorId="0" ref="V32">
      <text>
        <t xml:space="preserve">ENCABEÇAR RD BT NO PG: R071904 E ENERGIZAR OBRA.
</t>
      </text>
    </comment>
    <comment authorId="0" ref="BA32">
      <text>
        <t xml:space="preserve">LV:
USAR EPI/EPC 13,8KV / SOLICITAR BLOQUEIO DO RL XXXX  / CRUZAMENTO DE LT/RD: N/A. 
LM:
USAR EPI/EPC 13,8KV / ATERRAMENTO: NA / BLOQUEIO RL N/A / CRUZAMENTO DE LT/RD: N/A.</t>
      </text>
    </comment>
    <comment authorId="0" ref="BB32">
      <text>
        <t xml:space="preserve">LV - JACOBINA
01. QTD EQUIPES 01 LV / 01 LM/ 02. AR U460544 - NAILTON SANTANA/ 03. SUBST MRA370581 - PATRICIO DA SILVA BARBOSA 92 991473742/ 04. SUBST NTS884580 - CARLOS ANDRE SANTOS DA SILVA/ 05. SUBST .NTS333599 - JUCELINO DOS SANTOS  06. SUBST .MRA148601- CLEBSON REIS NETO 07.  SUBST .MRA666519-DOUGLAS DA SILVA MELO 08. SUBST .MRA096553-RODRIGO STS. SILVA 09. SUBST .MRA152590 - EMERSON DE CARVALHO </t>
      </text>
    </comment>
    <comment authorId="0" ref="BK32">
      <text>
        <t xml:space="preserve">INTERCALAR POSTE AT COM N1 ENTRE OS PG: D103574 - D103578, ENCABEÇAR RD BT NO PG: R071904 E ENERGIZAR OBRA.
</t>
      </text>
    </comment>
    <comment authorId="0" ref="S33">
      <text>
        <t xml:space="preserve">MONTAR BANCADA COM N3 NO PG: E106998 E ENERGIZAR OBRA.
</t>
      </text>
    </comment>
    <comment authorId="0" ref="U33">
      <text>
        <t xml:space="preserve">SUBSTITUIR POSTES BT POR AT DO PG: E372276 AO E372279 E ENERGIZAR OBRA.
</t>
      </text>
    </comment>
    <comment authorId="0" ref="X33">
      <text>
        <t xml:space="preserve">ABRIR CHAVE DO TRAFO V11206 E REALOCAR O MESMO PARA PG: E372279 E ENERGIZAR OBRA.
</t>
      </text>
    </comment>
    <comment authorId="0" ref="BA33">
      <text>
        <t xml:space="preserve">LV:
USAR EPI/EPC 13,8KV / SOLICITAR BLOQUEIO DO RL XXXX  / CRUZAMENTO DE LT/RD: N/A. 
LM:
USAR EPI/EPC 13,8KV / ATERRAMENTO: NA / BLOQUEIO RL N/A / CRUZAMENTO DE LT/RD: N/A.</t>
      </text>
    </comment>
    <comment authorId="0" ref="BB33">
      <text>
        <t xml:space="preserve">LV - JACOBINA
01. QTD EQUIPES 01 LV / 01 LM/ 02. AR U460544 - NAILTON SANTANA/ 03. SUBST MRA370581 - PATRICIO DA SILVA BARBOSA 92 991473742/ 04. SUBST NTS884580 - CARLOS ANDRE SANTOS DA SILVA/ 05. SUBST .NTS333599 - JUCELINO DOS SANTOS  06. SUBST .MRA148601- CLEBSON REIS NETO 07.  SUBST .MRA666519-DOUGLAS DA SILVA MELO 08. SUBST .MRA096553-RODRIGO STS. SILVA 09. SUBST .MRA152590 - EMERSON DE CARVALHO </t>
      </text>
    </comment>
    <comment authorId="0" ref="BK33">
      <text>
        <t xml:space="preserve">MONTAR BANCADA COM N3 NO PG: E106998 E ENERGIZAR OBRA.
</t>
      </text>
    </comment>
    <comment authorId="0" ref="S37">
      <text>
        <t xml:space="preserve">INTERCALAR POSTE AT COM N1-3 ENTRE OS PG: R071827 - R071828, FECHAR CHAVE NOVA PRÓXIMO AO PG: R071827  E ENERGIZAR OBRA.
</t>
      </text>
    </comment>
    <comment authorId="0" ref="V37">
      <text>
        <t xml:space="preserve">FECHAR CHAVE NOVA PRÓXIMO AO PG: R071827  E ENERGIZAR OBRA.</t>
      </text>
    </comment>
    <comment authorId="0" ref="BA37">
      <text>
        <t xml:space="preserve">LV:
USAR EPI/EPC 13,8KV / SOLICITAR BLOQUEIO DO RL XXXX  / CRUZAMENTO DE LT/RD: N/A. 
LM:
USAR EPI/EPC 13,8KV / ATERRAMENTO: NA / BLOQUEIO RL N/A / CRUZAMENTO DE LT/RD: N/A.</t>
      </text>
    </comment>
    <comment authorId="0" ref="BB37">
      <text>
        <t xml:space="preserve">LV - JACOBINA
01. QTD EQUIPES 01 LV / 01 LM/ 02. AR U460544 - NAILTON SANTANA/ 03. SUBST MRA370581 - PATRICIO DA SILVA BARBOSA 92 991473742/ 04. SUBST NTS884580 - CARLOS ANDRE SANTOS DA SILVA/ 05. SUBST .NTS333599 - JUCELINO DOS SANTOS  06. SUBST .MRA148601- CLEBSON REIS NETO 07.  SUBST .MRA666519-DOUGLAS DA SILVA MELO 08. SUBST .MRA096553-RODRIGO STS. SILVA 09. SUBST .MRA152590 - EMERSON DE CARVALHO </t>
      </text>
    </comment>
    <comment authorId="0" ref="BK37">
      <text>
        <t xml:space="preserve">INTERCALAR POSTE AT COM N1-3 ENTRE OS PG: R071827 - R071828, FECHAR CHAVE NOVA PRÓXIMO AO PG: R071827  E ENERGIZAR OBRA.
</t>
      </text>
    </comment>
    <comment authorId="0" ref="V38">
      <text>
        <t xml:space="preserve">ENCABEÇAR RD BT NO PG: E517380 E ENERGIZAR OBRA.
</t>
      </text>
    </comment>
    <comment authorId="0" ref="X39">
      <text>
        <t xml:space="preserve">ABRIR CHAVE: XXX P/ ADICIONAR FASE DO PG: D738522 AO D738542 SUBSTITUIR TRAFO N57372 E ENERGIZAR OBRA.
</t>
      </text>
    </comment>
    <comment authorId="0" ref="S40">
      <text>
        <t xml:space="preserve">ADICIONAR +1 ESTRIBO E +1 CHAVE NO PG: D285032 E ENERGIZAR OBRA.</t>
      </text>
    </comment>
    <comment authorId="0" ref="X40">
      <text>
        <t xml:space="preserve">ABRIR CHAVE DO TRAFO: W00240 POR 3F-30KVA, RECONDUTORAMENTO BT DO PG: D285031 AO D285035 E ENERGIZAR OBRA.</t>
      </text>
    </comment>
    <comment authorId="0" ref="BA40">
      <text>
        <t xml:space="preserve">LV:
USAR EPI/EPC 13,8KV / SOLICITAR BLOQUEIO DO RL XXXX  / CRUZAMENTO DE LT/RD: N/A. 
LM:
USAR EPI/EPC 13,8KV / ATERRAMENTO: NA / BLOQUEIO RL N/A / CRUZAMENTO DE LT/RD: N/A.</t>
      </text>
    </comment>
    <comment authorId="0" ref="BB40">
      <text>
        <t xml:space="preserve">LV - JACOBINA
01. QTD EQUIPES 01 LV / 01 LM/ 02. AR U460544 - NAILTON SANTANA/ 03. SUBST MRA370581 - PATRICIO DA SILVA BARBOSA 92 991473742/ 04. SUBST NTS884580 - CARLOS ANDRE SANTOS DA SILVA/ 05. SUBST .NTS333599 - JUCELINO DOS SANTOS  06. SUBST .MRA148601- CLEBSON REIS NETO 07.  SUBST .MRA666519-DOUGLAS DA SILVA MELO 08. SUBST .MRA096553-RODRIGO STS. SILVA 09. SUBST .MRA152590 - EMERSON DE CARVALHO </t>
      </text>
    </comment>
    <comment authorId="0" ref="BK40">
      <text>
        <t xml:space="preserve">ADICIONAR +1 ESTRIBO E +1 CHAVE NO PG: D285032 E ENERGIZAR OBRA.</t>
      </text>
    </comment>
    <comment authorId="0" ref="S41">
      <text>
        <t xml:space="preserve">ADICIONAR FASE DO PG: E517310 AO E517311 E ENERGIZAR OBRA.
</t>
      </text>
    </comment>
    <comment authorId="0" ref="U41">
      <text>
        <t xml:space="preserve">SUBSTITUIR POSTE BT POR AT NO PG: E517397, INTRECALAR 03 POSTES BT ENTRE OS PG: E517397 - E517402 E ENERGIZAR OBRA.</t>
      </text>
    </comment>
    <comment authorId="0" ref="X41">
      <text>
        <t xml:space="preserve">ABRIR CHAVE: D00491 P/ ADICIONAR FASE DO PG: E517312 AO E517396, SUBSTITUIR TF: D00499 POR TRAFO 3F-30KVA, SUBST. RD BT DO PG: E517394 AO E517402 E ENERGIZAR OBRA.
</t>
      </text>
    </comment>
    <comment authorId="0" ref="BA41">
      <text>
        <t xml:space="preserve">LV:
USAR EPI/EPC  34,5KV/ SOLICITAR BLOQUEIO DO RL XXXX  / CRUZAMENTO DE LT/RD: N/A.               
LM:  
USAR EPI/EPC  34,5KV / ATERRAMENTO: NA / BLOQUEIO RL N/A / CRUZAMENTO DE LT/RD: N/A.</t>
      </text>
    </comment>
    <comment authorId="0" ref="BB41">
      <text>
        <t xml:space="preserve">LV - JACOBINA
01. QTD EQUIPES 01 LV / 01 LM/ 02. AR U460544 - NAILTON SANTANA/ 03. SUBST MRA370581 - PATRICIO DA SILVA BARBOSA 92 991473742/ 04. SUBST NTS884580 - CARLOS ANDRE SANTOS DA SILVA/ 05. SUBST .NTS333599 - JUCELINO DOS SANTOS  06. SUBST .MRA148601- CLEBSON REIS NETO 07.  SUBST .MRA666519-DOUGLAS DA SILVA MELO 08. SUBST .MRA096553-RODRIGO STS. SILVA 09. SUBST .MRA152590 - EMERSON DE CARVALHO </t>
      </text>
    </comment>
    <comment authorId="0" ref="BK41">
      <text>
        <t xml:space="preserve">ADICIONAR FASE DO PG: E517310 AO E517311 E ENERGIZAR OBRA.
</t>
      </text>
    </comment>
    <comment authorId="0" ref="S42">
      <text>
        <t xml:space="preserve">INTERCALAR POSTE AT COM N1 E TRAFO ENTRE OS PG: B405741 - B405742, FECHAR CHAVE NOVA PRÓXIMO AO PG: B405741  E ENERGIZAR OBRA.
</t>
      </text>
    </comment>
    <comment authorId="0" ref="V42">
      <text>
        <t xml:space="preserve">FECHAR CHAVE NOVA PRÓXIMO AO PG: B405741  E ENERGIZAR OBRA.
</t>
      </text>
    </comment>
    <comment authorId="0" ref="BA42">
      <text>
        <t xml:space="preserve">LV:
USAR EPI/EPC 13,8KV / SOLICITAR BLOQUEIO DO RL XXXX  / CRUZAMENTO DE LT/RD: N/A. 
LM:
USAR EPI/EPC 13,8KV / ATERRAMENTO: NA / BLOQUEIO RL N/A / CRUZAMENTO DE LT/RD: N/A.</t>
      </text>
    </comment>
    <comment authorId="0" ref="BB42">
      <text>
        <t xml:space="preserve">LV - JACOBINA
01. QTD EQUIPES 01 LV / 01 LM/ 02. AR U460544 - NAILTON SANTANA/ 03. SUBST MRA370581 - PATRICIO DA SILVA BARBOSA 92 991473742/ 04. SUBST NTS884580 - CARLOS ANDRE SANTOS DA SILVA/ 05. SUBST .NTS333599 - JUCELINO DOS SANTOS  06. SUBST .MRA148601- CLEBSON REIS NETO 07.  SUBST .MRA666519-DOUGLAS DA SILVA MELO 08. SUBST .MRA096553-RODRIGO STS. SILVA 09. SUBST .MRA152590 - EMERSON DE CARVALHO </t>
      </text>
    </comment>
    <comment authorId="0" ref="BK42">
      <text>
        <t xml:space="preserve">INTERCALAR POSTE AT COM N1 E TRAFO ENTRE OS PG: B405741 - B405742, FECHAR CHAVE NOVA PRÓXIMO AO PG: B405741  E ENERGIZAR OBRA.
</t>
      </text>
    </comment>
    <comment authorId="0" ref="S43">
      <text>
        <t xml:space="preserve">ALTERAR ESTRUTURA DE N3 P/ N4 NO PG: D536576,  FECHAR CHAVE NOVA PRÓXIMO AO PG: D536576 E ENERGIZAR OBRA.
</t>
      </text>
    </comment>
    <comment authorId="0" ref="U43">
      <text>
        <t xml:space="preserve">SUBSTITUIR POSTES BT POR AT DO PG: D536332 AO B896654 E ENERGIZAR OBRA.
</t>
      </text>
    </comment>
    <comment authorId="0" ref="V43">
      <text>
        <t xml:space="preserve">FECHAR CHAVE NOVA PRÓXIMO AO PG: D536576 E ENERGIZAR OBRA.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tc={56dfac52-07ac-442d-9c44-b3c53050519e}</author>
  </authors>
  <commentList>
    <comment authorId="0" ref="S4">
      <text>
        <t xml:space="preserve">INTERCALAR POSTE AT COM XXX ENTRE OS PG: XXX FECHAR CHAVE NOVA PRÓXIMO AO PG: XXX E ENERGIZAR OBRA.
INTERCALAR POSTE AT COM XXX ENTRE OS PG: XXX ENCABEÇAR RD BT NO PG: XXX E ENERGIZAR OBRA.
ALTERAR ESTRUTURA DE XXX NO PG: XXX FECHAR CHAVE NOVA PRÓXIMO AO PG: XXX E ENERGIZAR OBRA.
MONTAR BANCADA COM XXX NO PG: XXX  FECHAR CHAVE NOVA PRÓXIMO AO PG: XXX E ENERGIZAR OBRA.
INTERCALAR POSTE AT COM XXX ENTRE OS PG: XXX ENCABEÇAR RD BT NO PG: XXX E ENERGIZAR OBRA.
</t>
      </text>
    </comment>
    <comment authorId="0" ref="U4">
      <text>
        <t xml:space="preserve">SUBSTITUIR POSTES BT POR AT DO PG: XXX E ENERGIZAR OBRA.
SUBSTITUIR POSTE BT POR AT NO PG: XXX E ENERGIZAR OBRA.</t>
      </text>
    </comment>
    <comment authorId="0" ref="V4">
      <text>
        <t xml:space="preserve">ENCABEÇAR RD BT NO PG: XXX E ENERGIZAR OBRA.
FECHAR CHAVE NOVA PRÓXIMO AO PG: XXX E ENERGIZAR OBRA.
FECHAR CHAVE DO TRAFO NOVO PRÓXIMO AO PG: XXX E ENERGIZAR OBRA.
INTRECALAR POSTE BT ENTRE OS PG: XXX E ENERGIZAR OBRA.</t>
      </text>
    </comment>
    <comment authorId="0" ref="BA4">
      <text>
        <t xml:space="preserve">LV:
USAR EPI/EPC 13,8KV / SOLICITAR BLOQUEIO DO RL XXXX  / CRUZAMENTO DE LT/RD: N/A. 
LM:
USAR EPI/EPC 13,8KV / ATERRAMENTO: NA / BLOQUEIO RL N/A / CRUZAMENTO DE LT/RD: N/A.
LV:
USAR EPI/EPC  34,5KV/ SOLICITAR BLOQUEIO DO RL XXXX  / CRUZAMENTO DE LT/RD: N/A.               
LM:  
USAR EPI/EPC  34,5KV / ATERRAMENTO: NA / BLOQUEIO RL N/A / CRUZAMENTO DE LT/RD: N/A.</t>
      </text>
    </comment>
    <comment authorId="0" ref="BD4">
      <text>
        <t xml:space="preserve">&lt;250 UCS, CHI &lt;500 APROVAÇÃO AUTOMÁTICA. OBS: REDE DE 34.5KV SOMENTE ABERTURA DE TRAFO.
&gt;250 UCS APROVAÇÃO MANUAL </t>
      </text>
    </comment>
    <comment authorId="0" ref="BF4">
      <text>
        <t xml:space="preserve">QUANTIDADE MÁXIMA 6H</t>
      </text>
    </comment>
    <comment authorId="0" ref="BG4">
      <text>
        <t xml:space="preserve">CHI &gt; 1200 REQUER APROVAÇÃO 
CHI &lt; 500 EM REDES DE 13.8KV APROVAÇÃO AUTOMÁTICA 
CHI &gt; 500 APROVAÇÃO MANUAL
ABERTURA DE CHAVES EM REDES DE 34.5KV APROVAÇÃO MANUAL, EXCETO CHAVES DE TRAFO COM CHI &lt;500. </t>
      </text>
    </comment>
    <comment authorId="0" ref="BK4">
      <text>
        <t xml:space="preserve">INFORMAÇÕES SI DE PG 
MRA148601
CLEBSON 
92 99181-3705
GERAR NÚMEROS DE BARRAMENTOS PARA OS POSTES DA OBRA EM QUESTÃO.
961668
RAFAEL SANTOS DA CRUZ
107662
NATALICIO
OBRA 
B-1090041
PGS DESTINADOS A OBRA XXX POIS A MESMA NÃO ESTÁ CADASTRADA NO SGSI.</t>
      </text>
    </comment>
    <comment authorId="0" ref="S6">
      <text>
        <t xml:space="preserve">INTERCALAR POSTE AT COM N1-3 ENTRE OS PG: B933897 - B933898, FECHAR CHAVE NOVA PRÓXIMO AO PG: B933897  E ENERGIZAR OBRA.
</t>
      </text>
    </comment>
    <comment authorId="0" ref="V6">
      <text>
        <t xml:space="preserve">FECHAR CHAVE NOVA PRÓXIMO AO PG: B933897  E ENERGIZAR OBRA.
</t>
      </text>
    </comment>
    <comment authorId="0" ref="BA6">
      <text>
        <t xml:space="preserve">LV:
USAR EPI/EPC 13,8KV / SOLICITAR BLOQUEIO DO RL XXXX  / CRUZAMENTO DE LT/RD: N/A. 
LM:
USAR EPI/EPC 13,8KV / ATERRAMENTO: NA / BLOQUEIO RL N/A / CRUZAMENTO DE LT/RD: N/A.</t>
      </text>
    </comment>
    <comment authorId="0" ref="BI6">
      <text>
        <t xml:space="preserve">LV - JACOBINA
01. QTD EQUIPES 01 LV / 01 LM/ 02. AR U464710 - MANOEL GUSTAVO/ 03. SUBST MRA370581 - PATRICIO DA SILVA BARBOSA 92 991473742/ 04. SUBST NTS884580 - CARLOS ANDRE SANTOS DA SILVA/ 05. SUBST .NTS333599 - JUCELINO DOS SANTOS  06. SUBST .MRA252517 - LUCIANO NUNES DA SILVA  07.  SUBST .MRA554506- FABIANO LOPES MORAES  08. SUBST .MRA219559 - CAIQUE SILVA LIMA 09. SUBST . MRA177595- DIOGO CRUZ DOS SANTOS
GILVANDO:
LM JACOBINA:
01. QTD EQUIPES 01LM/ 02. AR U464710 - MANOEL GUSTAVO/ 03. RESP SUBST MRA252517 - LUCIANO NUNES DA SILVA / 04. R  MRA177595- DIOGO CRUZ DOS SANTOS ESP SUBST MRA554506- FABIANO LOPES MORAES / 05. RESP SUBST . 06. RESP SUBST .  07. RESP SUBST .MRA219559 - CAIQUE SILVA LIMA 08. RESP SUBST .NTS025538 - GILVANDO RIOS DA CRUZ 92 99521-6405 </t>
      </text>
    </comment>
    <comment authorId="0" ref="S7">
      <text>
        <t xml:space="preserve">ALTERAR ESTRUTURA DE N3 P/ N4 NO PG: B116590, FECHAR CHAVE NOVA PRÓXIMO AO PG: B116590 E ENERGIZAR OBRA.
</t>
      </text>
    </comment>
    <comment authorId="0" ref="V7">
      <text>
        <t xml:space="preserve">FECHAR CHAVE NOVA PRÓXIMO AO PG: B116590 E ENERGIZAR OBRA.</t>
      </text>
    </comment>
    <comment authorId="0" ref="BA7">
      <text>
        <t xml:space="preserve">LV:
USAR EPI/EPC 13,8KV / SOLICITAR BLOQUEIO DO RL XXXX  / CRUZAMENTO DE LT/RD: N/A. 
LM:
USAR EPI/EPC 13,8KV / ATERRAMENTO: NA / BLOQUEIO RL N/A / CRUZAMENTO DE LT/RD: N/A.</t>
      </text>
    </comment>
    <comment authorId="0" ref="BI7">
      <text>
        <t xml:space="preserve">LV - JACOBINA
01. QTD EQUIPES 01 LV / 01 LM/ 02. AR U464710 - MANOEL GUSTAVO/ 03. SUBST MRA370581 - PATRICIO DA SILVA BARBOSA 92 991473742/ 04. SUBST NTS884580 - CARLOS ANDRE SANTOS DA SILVA/ 05. SUBST .NTS333599 - JUCELINO DOS SANTOS  06. SUBST .MRA252517 - LUCIANO NUNES DA SILVA  07.  SUBST .MRA554506- FABIANO LOPES MORAES  08. SUBST .MRA219559 - CAIQUE SILVA LIMA 09. SUBST . MRA177595- DIOGO CRUZ DOS SANTOS
GILVANDO:
LM JACOBINA:
01. QTD EQUIPES 01LM/ 02. AR U464710 - MANOEL GUSTAVO/ 03. RESP SUBST MRA252517 - LUCIANO NUNES DA SILVA / 04. R  MRA177595- DIOGO CRUZ DOS SANTOS ESP SUBST MRA554506- FABIANO LOPES MORAES / 05. RESP SUBST . 06. RESP SUBST .  07. RESP SUBST .MRA219559 - CAIQUE SILVA LIMA 08. RESP SUBST .NTS025538 - GILVANDO RIOS DA CRUZ 92 99521-6405 </t>
      </text>
    </comment>
    <comment authorId="0" ref="S8">
      <text>
        <t xml:space="preserve">ALTERAR ESTRUTURA DE N1 P/ N4 NO PG: D217520, FECHAR CHAVE NOVA PRÓXIMO AO PG: XXX E ENERGIZAR OBRA.
</t>
      </text>
    </comment>
    <comment authorId="0" ref="V8">
      <text>
        <t xml:space="preserve">FECHAR CHAVE NOVA PRÓXIMO AO PG: XXX E ENERGIZAR OBRA.
</t>
      </text>
    </comment>
    <comment authorId="0" ref="X8">
      <text>
        <t xml:space="preserve">ABRIR CHAVE: H80955 PARA REALOCAR VÃO DE RD MT PARA O POSTE NOVO PRÓXIMO AO D217520 E ENERGIZAR OBRA.</t>
      </text>
    </comment>
    <comment authorId="0" ref="BA8">
      <text>
        <t xml:space="preserve">LV:
USAR EPI/EPC 13,8KV / SOLICITAR BLOQUEIO DO RL XXXX  / CRUZAMENTO DE LT/RD: N/A. 
LM:
USAR EPI/EPC 13,8KV / ATERRAMENTO: NA / BLOQUEIO RL N/A / CRUZAMENTO DE LT/RD: N/A.</t>
      </text>
    </comment>
    <comment authorId="0" ref="BI8">
      <text>
        <t xml:space="preserve">LV - JACOBINA
01. QTD EQUIPES 01 LV / 01 LM/ 02. AR U464710 - MANOEL GUSTAVO/ 03. SUBST MRA370581 - PATRICIO DA SILVA BARBOSA 92 991473742/ 04. SUBST NTS884580 - CARLOS ANDRE SANTOS DA SILVA/ 05. SUBST .NTS333599 - JUCELINO DOS SANTOS  06. SUBST .MRA252517 - LUCIANO NUNES DA SILVA  07.  SUBST .MRA554506- FABIANO LOPES MORAES  08. SUBST .MRA219559 - CAIQUE SILVA LIMA 09. SUBST . MRA177595- DIOGO CRUZ DOS SANTOS
GILVANDO:
LM JACOBINA:
01. QTD EQUIPES 01LM/ 02. AR U464710 - MANOEL GUSTAVO/ 03. RESP SUBST MRA252517 - LUCIANO NUNES DA SILVA / 04. R  MRA177595- DIOGO CRUZ DOS SANTOS ESP SUBST MRA554506- FABIANO LOPES MORAES / 05. RESP SUBST . 06. RESP SUBST .  07. RESP SUBST .MRA219559 - CAIQUE SILVA LIMA 08. RESP SUBST .NTS025538 - GILVANDO RIOS DA CRUZ 92 99521-6405 </t>
      </text>
    </comment>
    <comment authorId="0" ref="S9">
      <text>
        <t xml:space="preserve">ALTERAR ESTRUTURA DE N3 P/ N4 NO PG: E736173, SUBSTITUIR POSTE L430520, FECHAR CHAVE NOVA PRÓXIMO AO PG: E736173 E ENERGIZAR OBRA.
</t>
      </text>
    </comment>
    <comment authorId="0" ref="U9">
      <text>
        <t xml:space="preserve">SUBSTITUIR POSTES BT POR AT DO PG: E736174 AO E736180 E ENERGIZAR OBRA.
</t>
      </text>
    </comment>
    <comment authorId="0" ref="V9">
      <text>
        <t xml:space="preserve">FECHAR CHAVE NOVA PRÓXIMO AO PG: E736173 E ENERGIZAR OBRA.
</t>
      </text>
    </comment>
    <comment authorId="0" ref="BA9">
      <text>
        <t xml:space="preserve">LV:
USAR EPI/EPC 13,8KV / SOLICITAR BLOQUEIO DO RL XXXX  / CRUZAMENTO DE LT/RD: N/A. 
LM:
USAR EPI/EPC 13,8KV / ATERRAMENTO: NA / BLOQUEIO RL N/A / CRUZAMENTO DE LT/RD: N/A.</t>
      </text>
    </comment>
    <comment authorId="0" ref="BI9">
      <text>
        <t xml:space="preserve">LV - JACOBINA
01. QTD EQUIPES 01 LV / 01 LM/ 02. AR U464710 - MANOEL GUSTAVO/ 03. SUBST MRA370581 - PATRICIO DA SILVA BARBOSA 92 991473742/ 04. SUBST NTS884580 - CARLOS ANDRE SANTOS DA SILVA/ 05. SUBST .NTS333599 - JUCELINO DOS SANTOS  06. SUBST .MRA252517 - LUCIANO NUNES DA SILVA  07.  SUBST .MRA554506- FABIANO LOPES MORAES  08. SUBST .MRA219559 - CAIQUE SILVA LIMA 09. SUBST . MRA177595- DIOGO CRUZ DOS SANTOS
GILVANDO:
LM JACOBINA:
01. QTD EQUIPES 01LM/ 02. AR U464710 - MANOEL GUSTAVO/ 03. RESP SUBST MRA252517 - LUCIANO NUNES DA SILVA / 04. R  MRA177595- DIOGO CRUZ DOS SANTOS ESP SUBST MRA554506- FABIANO LOPES MORAES / 05. RESP SUBST . 06. RESP SUBST .  07. RESP SUBST .MRA219559 - CAIQUE SILVA LIMA 08. RESP SUBST .NTS025538 - GILVANDO RIOS DA CRUZ 92 99521-6405 </t>
      </text>
    </comment>
    <comment authorId="0" ref="S10">
      <text>
        <t xml:space="preserve">INTERCALAR POSTE AT COM N1 ENTRE OS PG: B739962 - B739963, ENCABEÇAR RD BT NO PG: B739962  E ENERGIZAR OBRA.
</t>
      </text>
    </comment>
    <comment authorId="0" ref="V10">
      <text>
        <t xml:space="preserve">ENCABEÇAR RD BT NO PG: B739962  E ENERGIZAR OBRA.</t>
      </text>
    </comment>
    <comment authorId="0" ref="BA10">
      <text>
        <t xml:space="preserve">LV:
USAR EPI/EPC 13,8KV / SOLICITAR BLOQUEIO DO RL XXXX  / CRUZAMENTO DE LT/RD: N/A. 
LM:
USAR EPI/EPC 13,8KV / ATERRAMENTO: NA / BLOQUEIO RL N/A / CRUZAMENTO DE LT/RD: N/A.</t>
      </text>
    </comment>
    <comment authorId="0" ref="BI10">
      <text>
        <t xml:space="preserve">LV - JACOBINA
01. QTD EQUIPES 01 LV / 01 LM/ 02. AR U464710 - MANOEL GUSTAVO/ 03. SUBST MRA370581 - PATRICIO DA SILVA BARBOSA 92 991473742/ 04. SUBST NTS884580 - CARLOS ANDRE SANTOS DA SILVA/ 05. SUBST .NTS333599 - JUCELINO DOS SANTOS  06. SUBST .MRA252517 - LUCIANO NUNES DA SILVA  07.  SUBST .MRA554506- FABIANO LOPES MORAES  08. SUBST .MRA219559 - CAIQUE SILVA LIMA 09. SUBST . MRA177595- DIOGO CRUZ DOS SANTOS
GILVANDO:
LM JACOBINA:
01. QTD EQUIPES 01LM/ 02. AR U464710 - MANOEL GUSTAVO/ 03. RESP SUBST MRA252517 - LUCIANO NUNES DA SILVA / 04. R  MRA177595- DIOGO CRUZ DOS SANTOS ESP SUBST MRA554506- FABIANO LOPES MORAES / 05. RESP SUBST . 06. RESP SUBST .  07. RESP SUBST .MRA219559 - CAIQUE SILVA LIMA 08. RESP SUBST .NTS025538 - GILVANDO RIOS DA CRUZ 92 99521-6405 </t>
      </text>
    </comment>
    <comment authorId="0" ref="S11">
      <text>
        <t xml:space="preserve">INTERCALAR POSTE AT COM N1 E TRAFO ENTRE OS PG: E099562 - E099563, FECHAR CHAVE NOVA PRÓXIMO AO PG: E099562 E ENERGIZAR OBRA.
</t>
      </text>
    </comment>
    <comment authorId="0" ref="V11">
      <text>
        <t xml:space="preserve">FECHAR CHAVE NOVA PRÓXIMO AO PG: E099562 E ENERGIZAR OBRA.</t>
      </text>
    </comment>
    <comment authorId="0" ref="BA11">
      <text>
        <t xml:space="preserve">LV:
USAR EPI/EPC 13,8KV / SOLICITAR BLOQUEIO DO RL XXXX  / CRUZAMENTO DE LT/RD: N/A. 
LM:
USAR EPI/EPC 13,8KV / ATERRAMENTO: NA / BLOQUEIO RL N/A / CRUZAMENTO DE LT/RD: N/A.</t>
      </text>
    </comment>
    <comment authorId="0" ref="BI11">
      <text>
        <t xml:space="preserve">LV - JACOBINLV - JACOBINA
01. QTD EQUIPES 01 LV / 01 LM/ 02. AR U464710 - MANOEL GUSTAVO/ 03. SUBST MRA370581 - PATRICIO DA SILVA BARBOSA 92 991473742/ 04. SUBST NTS884580 - CARLOS ANDRE SANTOS DA SILVA/ 05. SUBST .NTS333599 - JUCELINO DOS SANTOS  06. SUBST .MRA252517 - LUCIANO NUNES DA SILVA  07.  SUBST .MRA554506- FABIANO LOPES MORAES  08. SUBST .MRA219559 - CAIQUE SILVA LIMA 09. SUBST . MRA177595- DIOGO CRUZ DOS SANTOS
GILVANDO:
LM JACOBINA:
01. QTD EQUIPES 01LM/ 02. AR U464710 - MANOEL GUSTAVO/ 03. RESP SUBST MRA252517 - LUCIANO NUNES DA SILVA / 04. R  MRA177595- DIOGO CRUZ DOS SANTOS ESP SUBST MRA554506- FABIANO LOPES MORAES / 05. RESP SUBST . 06. RESP SUBST .  07. RESP SUBST .MRA219559 - CAIQUE SILVA LIMA 08. RESP SUBST .NTS025538 - GILVANDO RIOS DA CRUZ 92 99521-6405 </t>
      </text>
    </comment>
    <comment authorId="0" ref="S12">
      <text>
        <t xml:space="preserve">INTERCALAR POSTE AT COM B1-N3  ENTRE OS PG: D229059 - D229058, FECHAR CHAVE NOVA PRÓBIMO AO PG: D229058 E ENERGIZAR OBRA.</t>
      </text>
    </comment>
    <comment authorId="0" ref="V12">
      <text>
        <t xml:space="preserve">FECHAR CHAVE NOVA PRÓXIMO AO PG: D229058 E ENERGIZAR OBRA.</t>
      </text>
    </comment>
    <comment authorId="0" ref="BA12">
      <text>
        <t xml:space="preserve">LV:
USAR EPI/EPC 13,8KV / SOLICITAR BLOQUEIO DO RL XXXX  / CRUZAMENTO DE LT/RD: N/A. 
LM:
USAR EPI/EPC 13,8KV / ATERRAMENTO: NA / BLOQUEIO RL N/A / CRUZAMENTO DE LT/RD: N/A.</t>
      </text>
    </comment>
    <comment authorId="0" ref="BI12">
      <text>
        <t xml:space="preserve">LV - JACOBINA
01. QTD EQUIPES 01 LV / 01 LM/ 02. AR U469504 - RAFAEL CRUZ/ 03. SUBST MRA370581 - PATRICIO DA SILVA BARBOSA 92 991473742/ 04. SUBST NTS884580 - CARLOS ANDRE SANTOS DA SILVA/ 05. SUBST .MRA096553-RODRIGO STS. SILVA 06. SUBST .MRA811574- JAILTON DA SILVA 07.  SUBST .MRA152590 - EMERSON DE CARVALHO  08. SUBST .MRA148601- CLEBSON REIS NETO 09. SUBST .MRA666519-DOUGLAS DA SILVA MELO
 ETEMILSON: 
LM JACOBINA:
01. QTD EQUIPE 01LM/ 02. AR U469504 - RAFAEL CRUZ/ 03. SUB.MRA148601- CLEBSON REIS NETO/ 04. SUB. MRA666519-DOUGLAS DA SILVA MELO/ 05. SUB .MRA571535-GERALDO DA COSTA GOMES 06.SUB.MRA811574- JAILTON DA SILVA  07. SUB..MRA096553-RODRIGO STS. SILVA 08. SUB.MRA738523 - JULIO SERAFIM DAMACENO 09. MRA152590 - EMERSON DE CARVALHO  10.  .MRA258541- CARLOS CRUZ SANTANA 11.NTS219592 - JAIR DE JESUS </t>
      </text>
    </comment>
    <comment authorId="0" ref="S13">
      <text>
        <t xml:space="preserve">INTERCALAR POSTE AT COM N1 E TRAFO ENTRE OS PG: B667318 AO B667317, FECHAR CHAVE NOVA PRÓXIMO AO PG: B667317 E ENERGIZAR OBRA.
</t>
      </text>
    </comment>
    <comment authorId="0" ref="V13">
      <text>
        <t xml:space="preserve">FECHAR CHAVE NOVA PRÓXIMO AO PG: B667317 E ENERGIZAR OBRA.</t>
      </text>
    </comment>
    <comment authorId="0" ref="BA13">
      <text>
        <t xml:space="preserve">LV:
USAR EPI/EPC 13,8KV / SOLICITAR BLOQUEIO DO RL XXXX  / CRUZAMENTO DE LT/RD: N/A. 
LM:
USAR EPI/EPC 13,8KV / ATERRAMENTO: NA / BLOQUEIO RL N/A / CRUZAMENTO DE LT/RD: N/A.</t>
      </text>
    </comment>
    <comment authorId="0" ref="BI13">
      <text>
        <t xml:space="preserve">LV - JACOBINA
01. QTD EQUIPES 01 LV / 01 LM/ 02. AR U469504 - RAFAEL CRUZ/ 03. SUBST MRA370581 - PATRICIO DA SILVA BARBOSA 92 991473742/ 04. SUBST NTS884580 - CARLOS ANDRE SANTOS DA SILVA/ 05. SUBST .MRA096553-RODRIGO STS. SILVA 06. SUBST .MRA811574- JAILTON DA SILVA 07.  SUBST .MRA152590 - EMERSON DE CARVALHO  08. SUBST .MRA148601- CLEBSON REIS NETO 09. SUBST .MRA666519-DOUGLAS DA SILVA MELO
 ETEMILSON: 
LM JACOBINA:
01. QTD EQUIPE 01LM/ 02. AR U469504 - RAFAEL CRUZ/ 03. SUB.MRA148601- CLEBSON REIS NETO/ 04. SUB. MRA666519-DOUGLAS DA SILVA MELO/ 05. SUB .MRA571535-GERALDO DA COSTA GOMES 06.SUB.MRA811574- JAILTON DA SILVA  07. SUB..MRA096553-RODRIGO STS. SILVA 08. SUB.MRA738523 - JULIO SERAFIM DAMACENO 09. MRA152590 - EMERSON DE CARVALHO  10.  .MRA258541- CARLOS CRUZ SANTANA 11.NTS219592 - JAIR DE JESUS </t>
      </text>
    </comment>
    <comment authorId="0" ref="S14">
      <text>
        <t xml:space="preserve">INTERCALAR POSTE AT COM N1 ENTRE OS PG: D150682 - B747115, ENCABEÇAR RD BT NO PG: B861643  E ENERGIZAR OBRA.
</t>
      </text>
    </comment>
    <comment authorId="0" ref="V14">
      <text>
        <t xml:space="preserve">ENCABEÇAR RD BT NO PG: B861643  E ENERGIZAR OBRA.</t>
      </text>
    </comment>
    <comment authorId="0" ref="BA14">
      <text>
        <t xml:space="preserve">LV:
USAR EPI/EPC 13,8KV / SOLICITAR BLOQUEIO DO RL XXXX  / CRUZAMENTO DE LT/RD: N/A. 
LM:
USAR EPI/EPC 13,8KV / ATERRAMENTO: NA / BLOQUEIO RL N/A / CRUZAMENTO DE LT/RD: N/A.</t>
      </text>
    </comment>
    <comment authorId="0" ref="BI14">
      <text>
        <t xml:space="preserve">LV - JACOBINA
01. QTD EQUIPES 01 LV / 01 LM/ 02. AR U469504 - RAFAEL CRUZ/ 03. SUBST MRA370581 - PATRICIO DA SILVA BARBOSA 92 991473742/ 04. SUBST NTS884580 - CARLOS ANDRE SANTOS DA SILVA/ 05. SUBST .MRA096553-RODRIGO STS. SILVA 06. SUBST .MRA811574- JAILTON DA SILVA 07.  SUBST .MRA152590 - EMERSON DE CARVALHO  08. SUBST .MRA148601- CLEBSON REIS NETO 09. SUBST .MRA666519-DOUGLAS DA SILVA MELO
 ETEMILSON: 
LM JACOBINA:
01. QTD EQUIPE 01LM/ 02. AR U469504 - RAFAEL CRUZ/ 03. SUB.MRA148601- CLEBSON REIS NETO/ 04. SUB. MRA666519-DOUGLAS DA SILVA MELO/ 05. SUB .MRA571535-GERALDO DA COSTA GOMES 06.SUB.MRA811574- JAILTON DA SILVA  07. SUB..MRA096553-RODRIGO STS. SILVA 08. SUB.MRA738523 - JULIO SERAFIM DAMACENO 09. MRA152590 - EMERSON DE CARVALHO  10.  .MRA258541- CARLOS CRUZ SANTANA 11.NTS219592 - JAIR DE JESUS </t>
      </text>
    </comment>
    <comment authorId="0" ref="S15">
      <text>
        <t xml:space="preserve">INTERCALAR POSTE AT COM N1 ENTRE OS PG: D021105 - D021106, ENCABEÇAR RD BT NO PG: D021106 E ENERGIZAR OBRA.
</t>
      </text>
    </comment>
    <comment authorId="0" ref="V15">
      <text>
        <t xml:space="preserve">ENCABEÇAR RD BT NO PG: D021106 E ENERGIZAR OBRA.</t>
      </text>
    </comment>
    <comment authorId="0" ref="BA15">
      <text>
        <t xml:space="preserve">LV:
USAR EPI/EPC 13,8KV / SOLICITAR BLOQUEIO DO RL XXXX  / CRUZAMENTO DE LT/RD: N/A. 
LM:
USAR EPI/EPC 13,8KV / ATERRAMENTO: NA / BLOQUEIO RL N/A / CRUZAMENTO DE LT/RD: N/A.</t>
      </text>
    </comment>
    <comment authorId="0" ref="BI15">
      <text>
        <t xml:space="preserve">LV - JACOBINA
01. QTD EQUIPES 01 LV / 01 LM/ 02. AR U469504 - RAFAEL CRUZ/ 03. SUBST MRA370581 - PATRICIO DA SILVA BARBOSA 92 991473742/ 04. SUBST NTS884580 - CARLOS ANDRE SANTOS DA SILVA/ 05. SUBST .MRA096553-RODRIGO STS. SILVA 06. SUBST .MRA811574- JAILTON DA SILVA 07.  SUBST .MRA152590 - EMERSON DE CARVALHO  08. SUBST .MRA148601- CLEBSON REIS NETO 09. SUBST .MRA666519-DOUGLAS DA SILVA MELO
 ETEMILSON: 
LM JACOBINA:
01. QTD EQUIPE 01LM/ 02. AR U469504 - RAFAEL CRUZ/ 03. SUB.MRA148601- CLEBSON REIS NETO/ 04. SUB. MRA666519-DOUGLAS DA SILVA MELO/ 05. SUB .MRA571535-GERALDO DA COSTA GOMES 06.SUB.MRA811574- JAILTON DA SILVA  07. SUB..MRA096553-RODRIGO STS. SILVA 08. SUB.MRA738523 - JULIO SERAFIM DAMACENO 09. MRA152590 - EMERSON DE CARVALHO  10.  .MRA258541- CARLOS CRUZ SANTANA 11.NTS219592 - JAIR DE JESUS </t>
      </text>
    </comment>
    <comment authorId="0" ref="V16">
      <text>
        <t xml:space="preserve">ENCABEÇAR RD BT NO PG: B418593 E ENERGIZAR OBRA.
</t>
      </text>
    </comment>
    <comment authorId="0" ref="BA16">
      <text>
        <t xml:space="preserve">LM:
USAR EPI/EPC 13,8KV / ATERRAMENTO: NA / BLOQUEIO RL N/A / CRUZAMENTO DE LT/RD: N/A.
</t>
      </text>
    </comment>
    <comment authorId="0" ref="BI16">
      <text>
        <t xml:space="preserve">
01. QTD EQUIPE 01LM/ 02. AR U469504 - RAFAEL CRUZ/ 03. SUB.MRA148601- CLEBSON REIS NETO/ 04. SUB. MRA666519-DOUGLAS DA SILVA MELO/ 05. SUB .MRA571535-GERALDO DA COSTA GOMES 06.SUB.MRA811574- JAILTON DA SILVA  07. SUB..MRA096553-RODRIGO STS. SILVA 08. SUB.MRA738523 - JULIO SERAFIM DAMACENO 09. MRA152590 - EMERSON DE CARVALHO  10.  .MRA258541- CARLOS CRUZ SANTANA 11.NTS219592 - JAIR DE JESUS </t>
      </text>
    </comment>
    <comment authorId="0" ref="X17">
      <text>
        <t xml:space="preserve">ABRIR CHAVE DO TRAFO: XXX PARA SUBSTITUIR POSTE BT NO PG: D089153, DESATIVAR RD BT DO PG: D090571 AO D089153 E ENERGIZAR OBRA.</t>
      </text>
    </comment>
    <comment authorId="0" ref="BA17">
      <text>
        <t xml:space="preserve">LM:
USAR EPI/EPC 13,8KV / ATERRAMENTO: NA / BLOQUEIO RL N/A / CRUZAMENTO DE LT/RD: N/A.
</t>
      </text>
    </comment>
    <comment authorId="0" ref="BI17">
      <text>
        <t xml:space="preserve">
01. QTD EQUIPE 01LM/ 02. AR U469504 - RAFAEL CRUZ/ 03. SUB.MRA148601- CLEBSON REIS NETO/ 04. SUB. MRA666519-DOUGLAS DA SILVA MELO/ 05. SUB .MRA571535-GERALDO DA COSTA GOMES 06.SUB.MRA811574- JAILTON DA SILVA  07. SUB..MRA096553-RODRIGO STS. SILVA 08. SUB.MRA738523 - JULIO SERAFIM DAMACENO 09. MRA152590 - EMERSON DE CARVALHO  10.  .MRA258541- CARLOS CRUZ SANTANA 11.NTS219592 - JAIR DE JESUS </t>
      </text>
    </comment>
    <comment authorId="0" ref="V18">
      <text>
        <t xml:space="preserve">ENCABEÇAR RD BT NO PG: E310221 E ENERGIZAR OBRA.
</t>
      </text>
    </comment>
    <comment authorId="0" ref="BA18">
      <text>
        <t xml:space="preserve">LM:  
USAR EPI/EPC  34,5KV / ATERRAMENTO: NA / BLOQUEIO RL N/A / CRUZAMENTO DE LT/RD: N/A.</t>
      </text>
    </comment>
    <comment authorId="0" ref="BI18">
      <text>
        <t xml:space="preserve">GILVANDO:
LM JACOBINA:
01. QTD EQUIPES 01LM/ 02. AR U464710 - MANOEL GUSTAVO/ 03. RESP SUBST MRA252517 - LUCIANO NUNES DA SILVA / 04. R  MRA177595- DIOGO CRUZ DOS SANTOS ESP SUBST MRA554506- FABIANO LOPES MORAES / 05. RESP SUBST . 06. RESP SUBST .  07. RESP SUBST .MRA219559 - CAIQUE SILVA LIMA 08. RESP SUBST .NTS025538 - GILVANDO RIOS DA CRUZ 92 99521-6405 </t>
      </text>
    </comment>
    <comment authorId="0" ref="V19">
      <text>
        <t xml:space="preserve">ENCABEÇAR RD BT NO PG: E337158 E ENERGIZAR OBRA.
</t>
      </text>
    </comment>
    <comment authorId="0" ref="BA19">
      <text>
        <t xml:space="preserve">LM:
USAR EPI/EPC 13,8KV / ATERRAMENTO: NA / BLOQUEIO RL N/A / CRUZAMENTO DE LT/RD: N/A.
</t>
      </text>
    </comment>
    <comment authorId="0" ref="BI19">
      <text>
        <t xml:space="preserve">GILVANDO:
LM JACOBINA:
01. QTD EQUIPES 01LM/ 02. AR U464710 - MANOEL GUSTAVO/ 03. RESP SUBST MRA252517 - LUCIANO NUNES DA SILVA / 04. R  MRA177595- DIOGO CRUZ DOS SANTOS ESP SUBST MRA554506- FABIANO LOPES MORAES / 05. RESP SUBST . 06. RESP SUBST .  07. RESP SUBST .MRA219559 - CAIQUE SILVA LIMA 08. RESP SUBST .NTS025538 - GILVANDO RIOS DA CRUZ 92 99521-6405 </t>
      </text>
    </comment>
    <comment authorId="0" ref="V20">
      <text>
        <t xml:space="preserve">ENCABEÇAR RD BT NO PG: B916916 E ENERGIZAR OBRA.</t>
      </text>
    </comment>
    <comment authorId="0" ref="X20">
      <text>
        <t xml:space="preserve">ABRIR CHAVE DO TRAFO: XXX PARA DESATIVAR VÃO DE RD BT DO PG: R016254 - B793074, ENCABEÇAR RD BT NO PG: B916916 E ENERGIZAR OBRA.</t>
      </text>
    </comment>
    <comment authorId="0" ref="BA20">
      <text>
        <t xml:space="preserve">LM:
USAR EPI/EPC 13,8KV / ATERRAMENTO: NA / BLOQUEIO RL N/A / CRUZAMENTO DE LT/RD: N/A.
</t>
      </text>
    </comment>
    <comment authorId="0" ref="BI20">
      <text>
        <t xml:space="preserve"> ETEMILSON: 
LM JACOBINA:
01. QTD EQUIPE 01LM/ 02. AR U460544 - NAILTON SANTANA/ 03. SUB.MRA148601- CLEBSON REIS NETO/ 04. SUB. MRA666519-DOUGLAS DA SILVA MELO/ 05. SUB .MRA571535-GERALDO DA COSTA GOMES 06.SUB.MRA811574- JAILTON DA SILVA  07. SUB..MRA096553-RODRIGO STS. SILVA 08. SUB.MRA738523 - JULIO SERAFIM DAMACENO 09. MRA152590 - EMERSON DE CARVALHO  10.  .MRA258541- CARLOS CRUZ SANTANA 11.NTS219592 - JAIR DE JESUS </t>
      </text>
    </comment>
    <comment authorId="0" ref="V21">
      <text>
        <t xml:space="preserve">ENCABEÇAR RD BT NO PG: B107042 E ENERGIZAR OBRA.
</t>
      </text>
    </comment>
    <comment authorId="0" ref="BA21">
      <text>
        <t xml:space="preserve">LM:
USAR EPI/EPC 13,8KV / ATERRAMENTO: NA / BLOQUEIO RL N/A / CRUZAMENTO DE LT/RD: N/A.
</t>
      </text>
    </comment>
    <comment authorId="0" ref="BI21">
      <text>
        <t xml:space="preserve"> ETEMILSON: 
LM JACOBINA:
01. QTD EQUIPE 01LM/ 02. AR U460544 - NAILTON SANTANA/ 03. SUB.MRA148601- CLEBSON REIS NETO/ 04. SUB. MRA666519-DOUGLAS DA SILVA MELO/ 05. SUB .MRA571535-GERALDO DA COSTA GOMES 06.SUB.MRA811574- JAILTON DA SILVA  07. SUB..MRA096553-RODRIGO STS. SILVA 08. SUB.MRA738523 - JULIO SERAFIM DAMACENO 09. MRA152590 - EMERSON DE CARVALHO  10.  .MRA258541- CARLOS CRUZ SANTANA 11.NTS219592 - JAIR DE JESUS </t>
      </text>
    </comment>
    <comment authorId="0" ref="X22">
      <text>
        <t xml:space="preserve">ABRIR CHAVE: D03773 PARA, SUBSTITUIR POSTES BT POR AT DO PG: E585412 AO E664653, REALOCAR TRAFO: D03781 PARA  POSTE PG: E664653 E ENERGIZAR OBRA.</t>
      </text>
    </comment>
    <comment authorId="0" ref="BA22">
      <text>
        <t xml:space="preserve">LM:
USAR EPI/EPC 13,8KV / ATERRAMENTO: NA / BLOQUEIO RL N/A / CRUZAMENTO DE LT/RD: N/A.
</t>
      </text>
    </comment>
    <comment authorId="0" ref="BI22">
      <text>
        <t xml:space="preserve">GILVANDO:
LM JACOBINA:
01. QTD EQUIPES 01LM/ 02. AR U464710 - MANOEL GUSTAVO/ 03. RESP SUBST MRA252517 - LUCIANO NUNES DA SILVA / 04. R  MRA177595- DIOGO CRUZ DOS SANTOS ESP SUBST MRA554506- FABIANO LOPES MORAES / 05. RESP SUBST . 06. RESP SUBST .  07. RESP SUBST .MRA219559 - CAIQUE SILVA LIMA 08. RESP SUBST .NTS025538 - GILVANDO RIOS DA CRUZ 92 99521-6405 </t>
      </text>
    </comment>
    <comment authorId="0" ref="V23">
      <text>
        <t xml:space="preserve">INTRECALAR POSTE BT ENTRE OS PG: L440460 - L440471, ENCABEÇAR RD BT NO PG: L440471 E ENERGIZAR OBRA.
</t>
      </text>
    </comment>
    <comment authorId="0" ref="X23">
      <text>
        <t xml:space="preserve">ABRIR CHAVE: T21022 P/ INTRECALAR POSTE BT ENTRE OS PG: L440460 - L440471, ENCABEÇAR RD BT NO PG: L440471 E ENERGIZAR OBRA.
</t>
      </text>
    </comment>
    <comment authorId="0" ref="BA23">
      <text>
        <t xml:space="preserve">LM:
USAR EPI/EPC 13,8KV / ATERRAMENTO: NA / BLOQUEIO RL N/A / CRUZAMENTO DE LT/RD: N/A.
</t>
      </text>
    </comment>
    <comment authorId="0" ref="BI23">
      <text>
        <t xml:space="preserve">GILVANDO:
LM JACOBINA:
01. QTD EQUIPES 01LM/ 02. AR U464710 - MANOEL GUSTAVO/ 03. RESP SUBST MRA252517 - LUCIANO NUNES DA SILVA / 04. R  MRA177595- DIOGO CRUZ DOS SANTOS ESP SUBST MRA554506- FABIANO LOPES MORAES / 05. RESP SUBST . 06. RESP SUBST .  07. RESP SUBST .MRA219559 - CAIQUE SILVA LIMA 08. RESP SUBST .NTS025538 - GILVANDO RIOS DA CRUZ 92 99521-6405 </t>
      </text>
    </comment>
    <comment authorId="0" ref="S24">
      <text>
        <t xml:space="preserve">INTERCALAR POSTE AT COM N1 E TRAFO ENTRE OS PG: E673923 - E673924, FECHAR CHAVE NOVA PRÓXIMO AO PG: E673923  E ENERGIZAR OBRA.
</t>
      </text>
    </comment>
    <comment authorId="0" ref="V24">
      <text>
        <t xml:space="preserve">FECHAR CHAVE NOVA PRÓXIMO AO PG: E673923  E ENERGIZAR OBRA.</t>
      </text>
    </comment>
    <comment authorId="0" ref="BA24">
      <text>
        <t xml:space="preserve">LV:
USAR EPI/EPC 13,8KV / SOLICITAR BLOQUEIO DO RL XXXX  / CRUZAMENTO DE LT/RD: N/A. 
LM:
USAR EPI/EPC 13,8KV / ATERRAMENTO: NA / BLOQUEIO RL N/A / CRUZAMENTO DE LT/RD: N/A.</t>
      </text>
    </comment>
    <comment authorId="0" ref="BI24">
      <text>
        <t xml:space="preserve">LV - JACOBINA
01. QTD EQUIPES 01 LV / 01 LM/ 02. AR U460544 - NAILTON SANTANA/ 03. SUBST MRA370581 - PATRICIO DA SILVA BARBOSA 92 991473742/ 04. SUBST NTS884580 - CARLOS ANDRE SANTOS DA SILVA/ 05. SUBST .MRA096553-RODRIGO STS. SILVA 06. SUBST .MRA811574- JAILTON DA SILVA 07.  SUBST .MRA152590 - EMERSON DE CARVALHO  08. SUBST .MRA148601- CLEBSON REIS NETO 09. SUBST .MRA666519-DOUGLAS DA SILVA MELO
 ETEMILSON: 
LM JACOBINA:
01. QTD EQUIPE 01LM/ 02. AR U460544 - NAILTON SANTANA/ 03. SUB.MRA148601- CLEBSON REIS NETO/ 04. SUB. MRA666519-DOUGLAS DA SILVA MELO/ 05. SUB .MRA571535-GERALDO DA COSTA GOMES 06.SUB.MRA811574- JAILTON DA SILVA  07. SUB..MRA096553-RODRIGO STS. SILVA 08. SUB.MRA738523 - JULIO SERAFIM DAMACENO 09. MRA152590 - EMERSON DE CARVALHO  10.  .MRA258541- CARLOS CRUZ SANTANA 11.NTS219592 - JAIR DE JESUS </t>
      </text>
    </comment>
    <comment authorId="0" ref="S25">
      <text>
        <t xml:space="preserve">MONTAR BANCADA COM N3 NO PG: D537100, FECHAR CHAVE NOVA PRÓXIMO AO PG: D537100 E ENERGIZAR OBRA.
</t>
      </text>
    </comment>
    <comment authorId="0" ref="V25">
      <text>
        <t xml:space="preserve">FECHAR CHAVE NOVA PRÓXIMO AO PG: D537100 E ENERGIZAR OBRA.
</t>
      </text>
    </comment>
    <comment authorId="0" ref="BA25">
      <text>
        <t xml:space="preserve">LV:
USAR EPI/EPC 13,8KV / SOLICITAR BLOQUEIO DO RL XXXX  / CRUZAMENTO DE LT/RD: N/A. 
LM:
USAR EPI/EPC 13,8KV / ATERRAMENTO: NA / BLOQUEIO RL N/A / CRUZAMENTO DE LT/RD: N/A.</t>
      </text>
    </comment>
    <comment authorId="0" ref="S26">
      <text>
        <t xml:space="preserve">INTERCALAR POSTE AT COM N1-3 ENTRE OS PG: L398206 - L398204, FECHAR CHAVE NOVA PRÓBIMO AO PG: L398206  E ENERGIZAR OBRA.</t>
      </text>
    </comment>
    <comment authorId="0" ref="V26">
      <text>
        <t xml:space="preserve">FECHAR CHAVE NOVA PRÓXIMO AO PG: L398206  E ENERGIZAR OBRA.</t>
      </text>
    </comment>
    <comment authorId="0" ref="BA26">
      <text>
        <t xml:space="preserve">LV:
USAR EPI/EPC 13,8KV / SOLICITAR BLOQUEIO DO RL XXXX  / CRUZAMENTO DE LT/RD: N/A. 
LM:
USAR EPI/EPC 13,8KV / ATERRAMENTO: NA / BLOQUEIO RL N/A / CRUZAMENTO DE LT/RD: N/A.</t>
      </text>
    </comment>
    <comment authorId="0" ref="BI26">
      <text>
        <t xml:space="preserve">LV - JACOBINA
01. QTD EQUIPES 01 LV / 01 LM/ 02. AR U460544 - NAILTON SANTANA/ 03. SUBST MRA370581 - PATRICIO DA SILVA BARBOSA 92 991473742/ 04. SUBST NTS884580 - CARLOS ANDRE SANTOS DA SILVA/ 05. SUBST .MRA096553-RODRIGO STS. SILVA 06. SUBST .MRA811574- JAILTON DA SILVA 07.  SUBST .MRA152590 - EMERSON DE CARVALHO  08. SUBST .MRA148601- CLEBSON REIS NETO 09. SUBST .MRA666519-DOUGLAS DA SILVA MELO
 ETEMILSON: 
LM JACOBINA:
01. QTD EQUIPE 01LM/ 02. AR U460544 - NAILTON SANTANA/ 03. SUB.MRA148601- CLEBSON REIS NETO/ 04. SUB. MRA666519-DOUGLAS DA SILVA MELO/ 05. SUB .MRA571535-GERALDO DA COSTA GOMES 06.SUB.MRA811574- JAILTON DA SILVA  07. SUB..MRA096553-RODRIGO STS. SILVA 08. SUB.MRA738523 - JULIO SERAFIM DAMACENO 09. MRA152590 - EMERSON DE CARVALHO  10.  .MRA258541- CARLOS CRUZ SANTANA 11.NTS219592 - JAIR DE JESUS </t>
      </text>
    </comment>
    <comment authorId="0" ref="V27">
      <text>
        <t xml:space="preserve">ENCABEÇAR RD BT NO PG: E474676 E ENERGIZAR OBRA.
</t>
      </text>
    </comment>
    <comment authorId="0" ref="BA27">
      <text>
        <t xml:space="preserve">LM:
USAR EPI/EPC 13,8KV / ATERRAMENTO: NA / BLOQUEIO RL N/A / CRUZAMENTO DE LT/RD: N/A.</t>
      </text>
    </comment>
    <comment authorId="0" ref="BI27">
      <text>
        <t xml:space="preserve">GILVANDO:
LM JACOBINA:
01. QTD EQUIPES 01LM/ 02. AR U464710 - MANOEL GUSTAVO/ 03. RESP SUBST MRA252517 - LUCIANO NUNES DA SILVA / 04. R  MRA177595- DIOGO CRUZ DOS SANTOS ESP SUBST MRA554506- FABIANO LOPES MORAES / 05. RESP SUBST . 06. RESP SUBST .  07. RESP SUBST .MRA219559 - CAIQUE SILVA LIMA 08. RESP SUBST .NTS025538 - GILVANDO RIOS DA CRUZ 92 99521-6405 </t>
      </text>
    </comment>
    <comment authorId="0" ref="S28">
      <text>
        <t xml:space="preserve">MONTAR BANCADA COM N3 NO PG: L432383, FECHAR CHAVE NOVA PRÓXIMO AO PG: L432383 E ENERGIZAR OBRA.</t>
      </text>
    </comment>
    <comment authorId="0" ref="V28">
      <text>
        <t xml:space="preserve">FECHAR CHAVE NOVA PRÓXIMO AO PG: L432383 E ENERGIZAR OBRA.</t>
      </text>
    </comment>
    <comment authorId="0" ref="BA28">
      <text>
        <t xml:space="preserve">LV:
USAR EPI/EPC 13,8KV / SOLICITAR BLOQUEIO DO RL XXXX  / CRUZAMENTO DE LT/RD: N/A. 
LM:
USAR EPI/EPC 13,8KV / ATERRAMENTO: NA / BLOQUEIO RL N/A / CRUZAMENTO DE LT/RD: N/A.</t>
      </text>
    </comment>
    <comment authorId="0" ref="BI28">
      <text>
        <t xml:space="preserve">LV - JACOBINA
01. QTD EQUIPES 01 LV / 01 LM/ 02. AR U460544 - NAILTON SANTANA/ 03. SUBST MRA370581 - PATRICIO DA SILVA BARBOSA 92 991473742/ 04. SUBST NTS884580 - CARLOS ANDRE SANTOS DA SILVA/ 05. SUBST .MRA096553-RODRIGO STS. SILVA 06. SUBST .MRA811574- JAILTON DA SILVA 07.  SUBST .MRA152590 - EMERSON DE CARVALHO  08. SUBST .MRA148601- CLEBSON REIS NETO 09. SUBST .MRA666519-DOUGLAS DA SILVA MELO
 ETEMILSON: 
LM JACOBINA:
01. QTD EQUIPE 01LM/ 02. AR U460544 - NAILTON SANTANA/ 03. SUB.MRA148601- CLEBSON REIS NETO/ 04. SUB. MRA666519-DOUGLAS DA SILVA MELO/ 05. SUB .MRA571535-GERALDO DA COSTA GOMES 06.SUB.MRA811574- JAILTON DA SILVA  07. SUB..MRA096553-RODRIGO STS. SILVA 08. SUB.MRA738523 - JULIO SERAFIM DAMACENO 09. MRA152590 - EMERSON DE CARVALHO  10.  .MRA258541- CARLOS CRUZ SANTANA 11.NTS219592 - JAIR DE JESUS </t>
      </text>
    </comment>
    <comment authorId="0" ref="S29">
      <text>
        <t xml:space="preserve">INTERCALAR POSTE AT COM N1-3 ENTRE OS PG: R040683 - R040682, FECHAR CHAVE NOVA PRÓXIMO AO PG: R040683  E ENERGIZAR OBRA.</t>
      </text>
    </comment>
    <comment authorId="0" ref="V29">
      <text>
        <t xml:space="preserve">FECHAR CHAVE NOVA PRÓXIMO AO PG: R040683  E ENERGIZAR OBRA.</t>
      </text>
    </comment>
    <comment authorId="0" ref="BA29">
      <text>
        <t xml:space="preserve">LV:
USAR EPI/EPC 13,8KV / SOLICITAR BLOQUEIO DO RL XXXX  / CRUZAMENTO DE LT/RD: N/A. 
LM:
USAR EPI/EPC 13,8KV / ATERRAMENTO: NA / BLOQUEIO RL N/A / CRUZAMENTO DE LT/RD: N/A.</t>
      </text>
    </comment>
    <comment authorId="0" ref="BI29">
      <text>
        <t xml:space="preserve">LV - JACOBINA
01. QTD EQUIPES 01 LV / 01 LM/ 02. AR U460544 - NAILTON SANTANA/ 03. SUBST MRA370581 - PATRICIO DA SILVA BARBOSA 92 991473742/ 04. SUBST NTS884580 - CARLOS ANDRE SANTOS DA SILVA/ 05. SUBST .MRA096553-RODRIGO STS. SILVA 06. SUBST .MRA811574- JAILTON DA SILVA 07.  SUBST .MRA152590 - EMERSON DE CARVALHO  08. SUBST .MRA148601- CLEBSON REIS NETO 09. SUBST .MRA666519-DOUGLAS DA SILVA MELO
 ETEMILSON: 
LM JACOBINA:
01. QTD EQUIPE 01LM/ 02. AR U460544 - NAILTON SANTANA/ 03. SUB.MRA148601- CLEBSON REIS NETO/ 04. SUB. MRA666519-DOUGLAS DA SILVA MELO/ 05. SUB .MRA571535-GERALDO DA COSTA GOMES 06.SUB.MRA811574- JAILTON DA SILVA  07. SUB..MRA096553-RODRIGO STS. SILVA 08. SUB.MRA738523 - JULIO SERAFIM DAMACENO 09. MRA152590 - EMERSON DE CARVALHO  10.  .MRA258541- CARLOS CRUZ SANTANA 11.NTS219592 - JAIR DE JESUS </t>
      </text>
    </comment>
    <comment authorId="0" ref="V30">
      <text>
        <t xml:space="preserve">ENCABEÇAR RD BT NO PG: R028897 E ENERGIZAR OBRA.
</t>
      </text>
    </comment>
    <comment authorId="0" ref="BA30">
      <text>
        <t xml:space="preserve">LM:  
USAR EPI/EPC  34,5KV / ATERRAMENTO: NA / BLOQUEIO RL N/A / CRUZAMENTO DE LT/RD: N/A.</t>
      </text>
    </comment>
    <comment authorId="0" ref="BI30">
      <text>
        <t xml:space="preserve"> ETEMILSON: 
LM JACOBINA:
01. QTD EQUIPE 01LM/ 02. AR U465100 - RICARDO BRITO/ 03. SUB.MRA148601- CLEBSON REIS NETO/ 04. SUB. MRA666519-DOUGLAS DA SILVA MELO/ 05. SUB .MRA571535-GERALDO DA COSTA GOMES 06.SUB.MRA811574- JAILTON DA SILVA  07. SUB..MRA096553-RODRIGO STS. SILVA 08. SUB.MRA738523 - JULIO SERAFIM DAMACENO 09. MRA152590 - EMERSON DE CARVALHO  10.  .MRA258541- CARLOS CRUZ SANTANA 11.NTS219592 - JAIR DE JESUS </t>
      </text>
    </comment>
    <comment authorId="0" ref="S31">
      <text>
        <t xml:space="preserve">ALTERAR ESTRUTURA DE N3 P/ N4 NO PG: D778089, FECHAR CHAVE NOVA PRÓXIMO AO PG: D778089 E ENERGIZAR OBRA.
</t>
      </text>
    </comment>
    <comment authorId="0" ref="U31">
      <text>
        <t xml:space="preserve">SUBSTITUIR POSTES BT POR AT DO PG: D778090 AO D778094 E ENERGIZAR OBRA.
</t>
      </text>
    </comment>
    <comment authorId="0" ref="V31">
      <text>
        <t xml:space="preserve">FECHAR CHAVE NOVA PRÓXIMO AO PG: D778089 E ENERGIZAR OBRA.</t>
      </text>
    </comment>
    <comment authorId="0" ref="X31">
      <text>
        <t xml:space="preserve">ABRIR CHAVE DO TRAFO: XXX P/ SUBSTITUIR POSTES BT POR AT DO PG: D778090 AO D778094 E ENERGIZAR OBRA.
</t>
      </text>
    </comment>
    <comment authorId="0" ref="BA31">
      <text>
        <t xml:space="preserve">LV:
USAR EPI/EPC 13,8KV / SOLICITAR BLOQUEIO DO RL XXXX  / CRUZAMENTO DE LT/RD: N/A. 
LM:
USAR EPI/EPC 13,8KV / ATERRAMENTO: NA / BLOQUEIO RL N/A / CRUZAMENTO DE LT/RD: N/A.</t>
      </text>
    </comment>
    <comment authorId="0" ref="BI31">
      <text>
        <t xml:space="preserve">LV - JACOBINA
01. QTD EQUIPES 01 LV / 01 LM/ 02. AR U469504 - RAFAEL CRUZ/ 03. SUBST MRA370581 - PATRICIO DA SILVA BARBOSA 92 991473742/ 04. SUBST NTS884580 - CARLOS ANDRE SANTOS DA SILVA/ 05. SUBST .MRA096553-RODRIGO STS. SILVA 06. SUBST .MRA811574- JAILTON DA SILVA 07.  SUBST .MRA152590 - EMERSON DE CARVALHO  08. SUBST .MRA148601- CLEBSON REIS NETO 09. SUBST .MRA666519-DOUGLAS DA SILVA MELO
 ETEMILSON: 
LM JACOBINA:
01. QTD EQUIPE 01LM/ 02. AR U469504 - RAFAEL CRUZ/ 03. SUB.MRA148601- CLEBSON REIS NETO/ 04. SUB. MRA666519-DOUGLAS DA SILVA MELO/ 05. SUB .MRA571535-GERALDO DA COSTA GOMES 06.SUB.MRA811574- JAILTON DA SILVA  07. SUB..MRA096553-RODRIGO STS. SILVA 08. SUB.MRA738523 - JULIO SERAFIM DAMACENO 09. MRA152590 - EMERSON DE CARVALHO  10.  .MRA258541- CARLOS CRUZ SANTANA 11.NTS219592 - JAIR DE JESUS </t>
      </text>
    </comment>
    <comment authorId="0" ref="V32">
      <text>
        <t xml:space="preserve">ENCABEÇAR RD BT NO PG: B763290 E ENERGIZAR OBRA.
</t>
      </text>
    </comment>
    <comment authorId="0" ref="BA32">
      <text>
        <t xml:space="preserve">LM:
USAR EPI/EPC 13,8KV / ATERRAMENTO: NA / BLOQUEIO RL N/A / CRUZAMENTO DE LT/RD: N/A.
</t>
      </text>
    </comment>
    <comment authorId="0" ref="BI32">
      <text>
        <t xml:space="preserve">
01. QTD EQUIPE 01LM/ 02. AR U469504 - RAFAEL CRUZ/ 03. SUB.MRA148601- CLEBSON REIS NETO/ 04. SUB. MRA666519-DOUGLAS DA SILVA MELO/ 05. SUB .MRA571535-GERALDO DA COSTA GOMES 06.SUB.MRA811574- JAILTON DA SILVA  07. SUB..MRA096553-RODRIGO STS. SILVA 08. SUB.MRA738523 - JULIO SERAFIM DAMACENO 09. MRA152590 - EMERSON DE CARVALHO  10.  .MRA258541- CARLOS CRUZ SANTANA 11.NTS219592 - JAIR DE JESUS </t>
      </text>
    </comment>
    <comment authorId="0" ref="S33">
      <text>
        <t xml:space="preserve">INTERCALAR POSTE AT COM N1 E TRAFO, ENTRE OS PG: B645743 - B645742, FECHAR CHAVE NOVA PRÓXIMO AO PG: B645742 E ENERGIZAR OBRA.
</t>
      </text>
    </comment>
    <comment authorId="0" ref="V33">
      <text>
        <t xml:space="preserve">FECHAR CHAVE NOVA PRÓXIMO AO PG: B645742 E ENERGIZAR OBRA.
</t>
      </text>
    </comment>
    <comment authorId="0" ref="BA33">
      <text>
        <t xml:space="preserve">LV:
USAR EPI/EPC 13,8KV / SOLICITAR BLOQUEIO DO RL XXXX  / CRUZAMENTO DE LT/RD: N/A. 
LM:
USAR EPI/EPC 13,8KV / ATERRAMENTO: NA / BLOQUEIO RL N/A / CRUZAMENTO DE LT/RD: N/A.</t>
      </text>
    </comment>
    <comment authorId="0" ref="BI33">
      <text>
        <t xml:space="preserve">LV - JACOBINALV - JACOBINA
01. QTD EQUIPES 01 LV / 01 LM/ 02. AR U464710 - MANOEL GUSTAVO/ 03. SUBST MRA370581 - PATRICIO DA SILVA BARBOSA 92 991473742/ 04. SUBST NTS884580 - CARLOS ANDRE SANTOS DA SILVA/ 05. SUBST .NTS333599 - JUCELINO DOS SANTOS  06. SUBST .MRA252517 - LUCIANO NUNES DA SILVA  07.  SUBST .MRA554506- FABIANO LOPES MORAES  08. SUBST .MRA219559 - CAIQUE SILVA LIMA 09. SUBST . MRA177595- DIOGO CRUZ DOS SANTOS
GILVANDO:
LM JACOBINA:
01. QTD EQUIPES 01LM/ 02. AR U464710 - MANOEL GUSTAVO/ 03. RESP SUBST MRA252517 - LUCIANO NUNES DA SILVA / 04. R  MRA177595- DIOGO CRUZ DOS SANTOS ESP SUBST MRA554506- FABIANO LOPES MORAES / 05. RESP SUBST . 06. RESP SUBST .  07. RESP SUBST .MRA219559 - CAIQUE SILVA LIMA 08. RESP SUBST .NTS025538 - GILVANDO RIOS DA CRUZ 92 99521-6405 </t>
      </text>
    </comment>
    <comment authorId="0" ref="U34">
      <text>
        <t xml:space="preserve">SUBSTITUIR POSTES BT POR AT DO PG: B795244 AO E359716 E ENERGIZAR OBRA.
</t>
      </text>
    </comment>
    <comment authorId="0" ref="V34">
      <text>
        <t xml:space="preserve">FECHAR CHAVE DO TRAFO NOVO PRÓXIMO AO PG: E359716 E ENERGIZAR OBRA.
</t>
      </text>
    </comment>
    <comment authorId="0" ref="X34">
      <text>
        <t xml:space="preserve">ABRIR CHAVE: J02166 PARA SUBST. PT AT NO PG: R000939, SUBST. PTS. BT POR AT DO PG: R000940 AO R000941, SUBST. RD BT DO PG: R000941 AO R000938 AO R000942 E ENERGIZAR OBRA.</t>
      </text>
    </comment>
    <comment authorId="0" ref="BA34">
      <text>
        <t xml:space="preserve">LM:  
USAR EPI/EPC  34,5KV / ATERRAMENTO: NA / BLOQUEIO RL N/A / CRUZAMENTO DE LT/RD: N/A.</t>
      </text>
    </comment>
    <comment authorId="0" ref="BI34">
      <text>
        <t xml:space="preserve">GILVANDO:
LM JACOBINA:
01. QTD EQUIPES 01LM/ 02. AR U464710 - MANOEL GUSTAVO/ 03. RESP SUBST MRA252517 - LUCIANO NUNES DA SILVA / 04. R  MRA177595- DIOGO CRUZ DOS SANTOS ESP SUBST MRA554506- FABIANO LOPES MORAES / 05. RESP SUBST . 06. RESP SUBST .  07. RESP SUBST .MRA219559 - CAIQUE SILVA LIMA 08. RESP SUBST .NTS025538 - GILVANDO RIOS DA CRUZ 92 99521-6405 </t>
      </text>
    </comment>
    <comment authorId="0" ref="S35">
      <text>
        <t xml:space="preserve">ALTERAR ESTRUTURA DE N3 P/ N4 NO PG: B738842, FECHAR CHAVE NOVA PRÓXIMO AO PG: XXX E ENERGIZAR OBRA.
</t>
      </text>
    </comment>
    <comment authorId="0" ref="U35">
      <text>
        <t xml:space="preserve">SUBSTITUIR POSTES BT POR AT DO PG: B738843 AO B738847 E ENERGIZAR OBRA.
</t>
      </text>
    </comment>
    <comment authorId="0" ref="V35">
      <text>
        <t xml:space="preserve"> FECHAR CHAVE NOVA PRÓXIMO AO PG: XXX E ENERGIZAR OBRA.</t>
      </text>
    </comment>
    <comment authorId="0" ref="BA35">
      <text>
        <t xml:space="preserve">LV:
USAR EPI/EPC 13,8KV / SOLICITAR BLOQUEIO DO RL XXXX  / CRUZAMENTO DE LT/RD: N/A. 
LM:
USAR EPI/EPC 13,8KV / ATERRAMENTO: NA / BLOQUEIO RL N/A / CRUZAMENTO DE LT/RD: N/A.</t>
      </text>
    </comment>
    <comment authorId="0" ref="BI35">
      <text>
        <t xml:space="preserve">LV - JACOBINA
01. QTD EQUIPES 01 LV / 01 LM/ 02. AR U465100 - RICARDO BRITO/ 03. SUBST MRA370581 - PATRICIO DA SILVA BARBOSA 92 991473742/ 04. SUBST NTS884580 - CARLOS ANDRE SANTOS DA SILVA/ 05. SUBST .MRA096553-RODRIGO STS. SILVA 06. SUBST .MRA811574- JAILTON DA SILVA 07.  SUBST .MRA152590 - EMERSON DE CARVALHO  08. SUBST .MRA148601- CLEBSON REIS NETO 09. SUBST .MRA666519-DOUGLAS DA SILVA MELO
 ETEMILSON: 
LM JACOBINA:
01. QTD EQUIPE 01LM/ 02. AR U465100 - RICARDO BRITO/ 03. SUB.MRA148601- CLEBSON REIS NETO/ 04. SUB. MRA666519-DOUGLAS DA SILVA MELO/ 05. SUB .MRA571535-GERALDO DA COSTA GOMES 06.SUB.MRA811574- JAILTON DA SILVA  07. SUB..MRA096553-RODRIGO STS. SILVA 08. SUB.MRA738523 - JULIO SERAFIM DAMACENO 09. MRA152590 - EMERSON DE CARVALHO  10.  .MRA258541- CARLOS CRUZ SANTANA 11.NTS219592 - JAIR DE JESUS </t>
      </text>
    </comment>
    <comment authorId="0" ref="S36">
      <text>
        <t xml:space="preserve">ALTERAR ESTRUTURA DE N3 P/ N4 NO PG: E161193, FECHAR CHAVE NOVA PRÓXIMO AO PG: E161193 E ENERGIZAR OBRA.
</t>
      </text>
    </comment>
    <comment authorId="0" ref="U36">
      <text>
        <t xml:space="preserve">SUBSTITUIR POSTES BT POR AT DO PG: E161194 AO E161198 E ENERGIZAR OBRA.
</t>
      </text>
    </comment>
    <comment authorId="0" ref="V36">
      <text>
        <t xml:space="preserve">FECHAR CHAVE NOVA PRÓXIMO AO PG: E161193 E ENERGIZAR OBRA.</t>
      </text>
    </comment>
    <comment authorId="0" ref="BA36">
      <text>
        <t xml:space="preserve">LV:
USAR EPI/EPC 13,8KV / SOLICITAR BLOQUEIO DO RL XXXX  / CRUZAMENTO DE LT/RD: N/A. 
LM:
USAR EPI/EPC 13,8KV / ATERRAMENTO: NA / BLOQUEIO RL N/A / CRUZAMENTO DE LT/RD: N/A.</t>
      </text>
    </comment>
    <comment authorId="0" ref="BI36">
      <text>
        <t xml:space="preserve">LV - JACOBINA
01. QTD EQUIPES 01 LV / 01 LM/ 02. AR U465100 - RICARDO BRITO/ 03. SUBST MRA370581 - PATRICIO DA SILVA BARBOSA 92 991473742/ 04. SUBST NTS884580 - CARLOS ANDRE SANTOS DA SILVA/ 05. SUBST .MRA096553-RODRIGO STS. SILVA 06. SUBST .MRA811574- JAILTON DA SILVA 07.  SUBST .MRA152590 - EMERSON DE CARVALHO  08. SUBST .MRA148601- CLEBSON REIS NETO 09. SUBST .MRA666519-DOUGLAS DA SILVA MELO
 ETEMILSON: 
LM JACOBINA:
01. QTD EQUIPE 01LM/ 02. AR U465100 - RICARDO BRITO/ 03. SUB.MRA148601- CLEBSON REIS NETO/ 04. SUB. MRA666519-DOUGLAS DA SILVA MELO/ 05. SUB .MRA571535-GERALDO DA COSTA GOMES 06.SUB.MRA811574- JAILTON DA SILVA  07. SUB..MRA096553-RODRIGO STS. SILVA 08. SUB.MRA738523 - JULIO SERAFIM DAMACENO 09. MRA152590 - EMERSON DE CARVALHO  10.  .MRA258541- CARLOS CRUZ SANTANA 11.NTS219592 - JAIR DE JESUS </t>
      </text>
    </comment>
    <comment authorId="0" ref="S37">
      <text>
        <t xml:space="preserve">INTERCALAR POSTE AT COM N1 E TRAFO ENTRE OS PG: R038942 - R038943, FECHAR CHAVE NOVA PRÓXIMO AO PG: R038942  E ENERGIZAR OBRA.
</t>
      </text>
    </comment>
    <comment authorId="0" ref="V37">
      <text>
        <t xml:space="preserve">FECHAR CHAVE NOVA PRÓXIMO AO PG: R038942  E ENERGIZAR OBRA.</t>
      </text>
    </comment>
    <comment authorId="0" ref="BA37">
      <text>
        <t xml:space="preserve">LV:
USAR EPI/EPC 13,8KV / SOLICITAR BLOQUEIO DO RL XXXX  / CRUZAMENTO DE LT/RD: N/A. 
LM:
USAR EPI/EPC 13,8KV / ATERRAMENTO: NA / BLOQUEIO RL N/A / CRUZAMENTO DE LT/RD: N/A.</t>
      </text>
    </comment>
    <comment authorId="0" ref="BI37">
      <text>
        <t xml:space="preserve">LV - JACOBINA
01. QTD EQUIPES 01 LV / 01 LM/ 02. AR U465100 - RICARDO BRITO/ 03. SUBST MRA370581 - PATRICIO DA SILVA BARBOSA 92 991473742/ 04. SUBST NTS884580 - CARLOS ANDRE SANTOS DA SILVA/ 05. SUBST .MRA096553-RODRIGO STS. SILVA 06. SUBST .MRA811574- JAILTON DA SILVA 07.  SUBST .MRA152590 - EMERSON DE CARVALHO  08. SUBST .MRA148601- CLEBSON REIS NETO 09. SUBST .MRA666519-DOUGLAS DA SILVA MELO
 ETEMILSON: 
LM JACOBINA:
01. QTD EQUIPE 01LM/ 02. AR U465100 - RICARDO BRITO/ 03. SUB.MRA148601- CLEBSON REIS NETO/ 04. SUB. MRA666519-DOUGLAS DA SILVA MELO/ 05. SUB .MRA571535-GERALDO DA COSTA GOMES 06.SUB.MRA811574- JAILTON DA SILVA  07. SUB..MRA096553-RODRIGO STS. SILVA 08. SUB.MRA738523 - JULIO SERAFIM DAMACENO 09. MRA152590 - EMERSON DE CARVALHO  10.  .MRA258541- CARLOS CRUZ SANTANA 11.NTS219592 - JAIR DE JESUS </t>
      </text>
    </comment>
    <comment authorId="0" ref="S38">
      <text>
        <t xml:space="preserve">INTERCALAR POSTE AT COM N1 E TRAFO ENTRE OS PG: R071694 - R071695, FECHAR CHAVE NOVA PRÓXIMO AO PG: R071694 E ENERGIZAR OBRA.
</t>
      </text>
    </comment>
    <comment authorId="0" ref="V38">
      <text>
        <t xml:space="preserve">FECHAR CHAVE NOVA PRÓXIMO AO PG: R071694 E ENERGIZAR OBRA.</t>
      </text>
    </comment>
    <comment authorId="0" ref="BA38">
      <text>
        <t xml:space="preserve">LV:
USAR EPI/EPC 13,8KV / SOLICITAR BLOQUEIO DO RL XXXX  / CRUZAMENTO DE LT/RD: N/A. 
LM:
USAR EPI/EPC 13,8KV / ATERRAMENTO: NA / BLOQUEIO RL N/A / CRUZAMENTO DE LT/RD: N/A.</t>
      </text>
    </comment>
    <comment authorId="0" ref="BI38">
      <text>
        <t xml:space="preserve">LV - JACOBINA
01. QTD EQUIPES 01 LV / 01 LM/ 02. AR U465100 - RICARDO BRITO/ 03. SUBST MRA370581 - PATRICIO DA SILVA BARBOSA 92 991473742/ 04. SUBST NTS884580 - CARLOS ANDRE SANTOS DA SILVA/ 05. SUBST .MRA096553-RODRIGO STS. SILVA 06. SUBST .MRA811574- JAILTON DA SILVA 07.  SUBST .MRA152590 - EMERSON DE CARVALHO  08. SUBST .MRA148601- CLEBSON REIS NETO 09. SUBST .MRA666519-DOUGLAS DA SILVA MELO
 ETEMILSON: 
LM JACOBINA:
01. QTD EQUIPE 01LM/ 02. AR U465100 - RICARDO BRITO/ 03. SUB.MRA148601- CLEBSON REIS NETO/ 04. SUB. MRA666519-DOUGLAS DA SILVA MELO/ 05. SUB .MRA571535-GERALDO DA COSTA GOMES 06.SUB.MRA811574- JAILTON DA SILVA  07. SUB..MRA096553-RODRIGO STS. SILVA 08. SUB.MRA738523 - JULIO SERAFIM DAMACENO 09. MRA152590 - EMERSON DE CARVALHO  10.  .MRA258541- CARLOS CRUZ SANTANA 11.NTS219592 - JAIR DE JESUS </t>
      </text>
    </comment>
    <comment authorId="0" ref="S39">
      <text>
        <t xml:space="preserve">INTERCALAR POSTE AT COM N1-3 ENTRE OS PG: B343837 - B343838, FECHAR CHAVE NOVA PRÓXIMO AO PG: B343837  E ENERGIZAR OBRA.
</t>
      </text>
    </comment>
    <comment authorId="0" ref="V39">
      <text>
        <t xml:space="preserve">FECHAR CHAVE NOVA PRÓXIMO AO PG: B343837  E ENERGIZAR OBRA.
</t>
      </text>
    </comment>
    <comment authorId="0" ref="BA39">
      <text>
        <t xml:space="preserve">LV:
USAR EPI/EPC 13,8KV / SOLICITAR BLOQUEIO DO RL XXXX  / CRUZAMENTO DE LT/RD: N/A. 
LM:
USAR EPI/EPC 13,8KV / ATERRAMENTO: NA / BLOQUEIO RL N/A / CRUZAMENTO DE LT/RD: N/A.</t>
      </text>
    </comment>
    <comment authorId="0" ref="BI39">
      <text>
        <t xml:space="preserve">LV - JACOBINA
01. QTD EQUIPES 01 LV / 01 LM/ 02. AR U465100 - RICARDO BRITO/ 03. SUBST MRA370581 - PATRICIO DA SILVA BARBOSA 92 991473742/ 04. SUBST NTS884580 - CARLOS ANDRE SANTOS DA SILVA/ 05. SUBST .MRA096553-RODRIGO STS. SILVA 06. SUBST .MRA811574- JAILTON DA SILVA 07.  SUBST .MRA152590 - EMERSON DE CARVALHO  08. SUBST .MRA148601- CLEBSON REIS NETO 09. SUBST .MRA666519-DOUGLAS DA SILVA MELO
 ETEMILSON: 
LM JACOBINA:
01. QTD EQUIPE 01LM/ 02. AR U465100 - RICARDO BRITO/ 03. SUB.MRA148601- CLEBSON REIS NETO/ 04. SUB. MRA666519-DOUGLAS DA SILVA MELO/ 05. SUB .MRA571535-GERALDO DA COSTA GOMES 06.SUB.MRA811574- JAILTON DA SILVA  07. SUB..MRA096553-RODRIGO STS. SILVA 08. SUB.MRA738523 - JULIO SERAFIM DAMACENO 09. MRA152590 - EMERSON DE CARVALHO  10.  .MRA258541- CARLOS CRUZ SANTANA 11.NTS219592 - JAIR DE JESUS </t>
      </text>
    </comment>
    <comment authorId="0" ref="V40">
      <text>
        <t xml:space="preserve">ENCABEÇAR RD BT NO PG: B522436 E ENERGIZAR OBRA.
</t>
      </text>
    </comment>
    <comment authorId="0" ref="BA40">
      <text>
        <t xml:space="preserve">LM:
USAR EPI/EPC 13,8KV / ATERRAMENTO: NA / BLOQUEIO RL N/A / CRUZAMENTO DE LT/RD: N/A.
</t>
      </text>
    </comment>
    <comment authorId="0" ref="BI40">
      <text>
        <t xml:space="preserve">GILVANDO:
LM JACOBINA:
01. QTD EQUIPES 01LM/ 02. AR U464710 - MANOEL GUSTAVO/ 03. RESP SUBST MRA252517 - LUCIANO NUNES DA SILVA / 04. R  MRA177595- DIOGO CRUZ DOS SANTOS ESP SUBST MRA554506- FABIANO LOPES MORAES / 05. RESP SUBST . 06. RESP SUBST .  07. RESP SUBST .MRA219559 - CAIQUE SILVA LIMA 08. RESP SUBST .NTS025538 - GILVANDO RIOS DA CRUZ 92 99521-6405 </t>
      </text>
    </comment>
    <comment authorId="0" ref="S41">
      <text>
        <t xml:space="preserve">MONTAR BANCADA COM N3 NO PG: E252655, FECHAR CHAVE NOVA PRÓXIMO AO PG: E252655 E ENERGIZAR OBRA.
</t>
      </text>
    </comment>
    <comment authorId="0" ref="U41">
      <text>
        <t xml:space="preserve">SUBSTITUIR POSTES BT POR AT DO PG: E252656 AO E252675 E ENERGIZAR OBRA.
</t>
      </text>
    </comment>
    <comment authorId="0" ref="V41">
      <text>
        <t xml:space="preserve">FECHAR CHAVE NOVA PRÓXIMO AO PG: E252655 E ENERGIZAR OBRA.</t>
      </text>
    </comment>
    <comment authorId="0" ref="X41">
      <text>
        <t xml:space="preserve">ABRIR CAHVE DO TRAFO: V28107, REALOCAR O MESMO PARA O PG: E252667 E ENERGIZAR OBRA.</t>
      </text>
    </comment>
    <comment authorId="0" ref="BA41">
      <text>
        <t xml:space="preserve">LV:
USAR EPI/EPC 13,8KV / SOLICITAR BLOQUEIO DO RL XXXX  / CRUZAMENTO DE LT/RD: N/A. 
LM:
USAR EPI/EPC 13,8KV / ATERRAMENTO: NA / BLOQUEIO RL N/A / CRUZAMENTO DE LT/RD: N/A.</t>
      </text>
    </comment>
    <comment authorId="0" ref="BI41">
      <text>
        <t xml:space="preserve">LV - JACOBINA
LV - JACOBINA
01. QTD EQUIPES 01 LV / 01 LM/ 02. AR U464710 - MANOEL GUSTAVO/ 03. SUBST MRA370581 - PATRICIO DA SILVA BARBOSA 92 991473742/ 04. SUBST NTS884580 - CARLOS ANDRE SANTOS DA SILVA/ 05. SUBST .NTS333599 - JUCELINO DOS SANTOS  06. SUBST .MRA252517 - LUCIANO NUNES DA SILVA  07.  SUBST .MRA554506- FABIANO LOPES MORAES  08. SUBST .MRA219559 - CAIQUE SILVA LIMA 09. SUBST . MRA177595- DIOGO CRUZ DOS SANTOS
GILVANDO:
LM JACOBINA:
01. QTD EQUIPES 01LM/ 02. AR U464710 - MANOEL GUSTAVO/ 03. RESP SUBST MRA252517 - LUCIANO NUNES DA SILVA / 04. R  MRA177595- DIOGO CRUZ DOS SANTOS ESP SUBST MRA554506- FABIANO LOPES MORAES / 05. RESP SUBST . 06. RESP SUBST .  07. RESP SUBST .MRA219559 - CAIQUE SILVA LIMA 08. RESP SUBST .NTS025538 - GILVANDO RIOS DA CRUZ 92 99521-6405 </t>
      </text>
    </comment>
    <comment authorId="0" ref="S42">
      <text>
        <t xml:space="preserve">ALTERAR ESTRUTURA DE N3 P/ N4  NO PG: L439989, FECHAR CHAVE NOVA PRÓXIMO AO PG: L439989 E ENERGIZAR OBRA.
</t>
      </text>
    </comment>
    <comment authorId="0" ref="U42">
      <text>
        <t xml:space="preserve">SUBSTITUIR POSTES BT POR AT DO PG: L438499 AO L384124 E ENERGIZAR OBRA.
</t>
      </text>
    </comment>
    <comment authorId="0" ref="V42">
      <text>
        <t xml:space="preserve">FECHAR CHAVE NOVA PRÓXIMO AO PG: L439989 E ENERGIZAR OBRA.</t>
      </text>
    </comment>
    <comment authorId="0" ref="X42">
      <text>
        <t xml:space="preserve">ABRIR CHAVE: XXX P/ SUBSTITUIR POSTES BT POR AT DO PG: L438499 AO L384124 E ENERGIZAR OBRA.</t>
      </text>
    </comment>
    <comment authorId="0" ref="BA42">
      <text>
        <t xml:space="preserve">LV:
USAR EPI/EPC 13,8KV / SOLICITAR BLOQUEIO DO RL XXXX  / CRUZAMENTO DE LT/RD: N/A. 
LM:
USAR EPI/EPC 13,8KV / ATERRAMENTO: NA / BLOQUEIO RL N/A / CRUZAMENTO DE LT/RD: N/A.</t>
      </text>
    </comment>
    <comment authorId="0" ref="BI42">
      <text>
        <t xml:space="preserve">LV - JACOBINA
01. QTD EQUIPES 01 LV / 01 LM/ 02. AR U464710 - MANOEL GUSTAVO/ 03. SUBST MRA370581 - PATRICIO DA SILVA BARBOSA 92 991473742/ 04. SUBST NTS884580 - CARLOS ANDRE SANTOS DA SILVA/ 05. SUBST .NTS333599 - JUCELINO DOS SANTOS  06. SUBST .MRA252517 - LUCIANO NUNES DA SILVA  07.  SUBST .MRA554506- FABIANO LOPES MORAES  08. SUBST .MRA219559 - CAIQUE SILVA LIMA 09. SUBST . MRA177595- DIOGO CRUZ DOS SANTOS
GILVANDO:
LM JACOBINA:
01. QTD EQUIPES 01LM/ 02. AR U464710 - MANOEL GUSTAVO/ 03. RESP SUBST MRA252517 - LUCIANO NUNES DA SILVA / 04. R  MRA177595- DIOGO CRUZ DOS SANTOS ESP SUBST MRA554506- FABIANO LOPES MORAES / 05. RESP SUBST . 06. RESP SUBST .  07. RESP SUBST .MRA219559 - CAIQUE SILVA LIMA 08. RESP SUBST .NTS025538 - GILVANDO RIOS DA CRUZ 92 99521-6405 </t>
      </text>
    </comment>
    <comment authorId="0" ref="S43">
      <text>
        <t xml:space="preserve">INTERCALAR POSTE AT COM N1 ENTRE OS PG: B181508 - B181507, ENCABEÇAR RD BT NO PG: B181508  E ENERGIZAR OBRA.
</t>
      </text>
    </comment>
    <comment authorId="0" ref="V43">
      <text>
        <t xml:space="preserve">ENCABEÇAR RD BT NO PG: B181508  E ENERGIZAR OBRA.</t>
      </text>
    </comment>
    <comment authorId="0" ref="BA43">
      <text>
        <t xml:space="preserve">LV:
USAR EPI/EPC 13,8KV / SOLICITAR BLOQUEIO DO RL XXXX  / CRUZAMENTO DE LT/RD: N/A. 
LM:
USAR EPI/EPC 13,8KV / ATERRAMENTO: NA / BLOQUEIO RL N/A / CRUZAMENTO DE LT/RD: N/A.</t>
      </text>
    </comment>
    <comment authorId="0" ref="S44">
      <text>
        <t xml:space="preserve">INTERCALAR POSTE AT COM N1 E TRAFO ENTRE OS PG: B398920 - B398919, FECHAR CHAVE NOVA PRÓXIMO AO PG: B398919 E ENERGIZAR OBRA.
</t>
      </text>
    </comment>
    <comment authorId="0" ref="V44">
      <text>
        <t xml:space="preserve">FECHAR CHAVE NOVA PRÓXIMO AO PG: B398919 E ENERGIZAR OBRA.</t>
      </text>
    </comment>
    <comment authorId="0" ref="BA44">
      <text>
        <t xml:space="preserve">LV:
USAR EPI/EPC 13,8KV / SOLICITAR BLOQUEIO DO RL XXXX  / CRUZAMENTO DE LT/RD: N/A. 
LM:
USAR EPI/EPC 13,8KV / ATERRAMENTO: NA / BLOQUEIO RL N/A / CRUZAMENTO DE LT/RD: N/A.</t>
      </text>
    </comment>
    <comment authorId="0" ref="BI44">
      <text>
        <t xml:space="preserve">GILVANDO:
LM JACOBINA:
01. QTD EQUIPES 01LM/ 02. AR U464710 - MANOEL GUSTAVO/ 03. RESP SUBST MRA252517 - LUCIANO NUNES DA SILVA / 04. R  MRA177595- DIOGO CRUZ DOS SANTOS ESP SUBST MRA554506- FABIANO LOPES MORAES / 05. RESP SUBST . 06. RESP SUBST .  07. RESP SUBST .MRA219559 - CAIQUE SILVA LIMA 08. RESP SUBST .NTS025538 - GILVANDO RIOS DA CRUZ 92 99521-6405 </t>
      </text>
    </comment>
    <comment authorId="0" ref="S45">
      <text>
        <t xml:space="preserve">INTERCALAR POSTE AT COM N1 E TRAFO ENTRE OS PG: Q149488 - Q149487, FECHAR CHAVE NOVA PRÓXIMO AO PG: Q149488  E ENERGIZAR OBRA.
</t>
      </text>
    </comment>
    <comment authorId="0" ref="V45">
      <text>
        <t xml:space="preserve">FECHAR CHAVE NOVA PRÓXIMO AO PG: Q149488  E ENERGIZAR OBRA.
</t>
      </text>
    </comment>
    <comment authorId="0" ref="BA45">
      <text>
        <t xml:space="preserve">LV:
USAR EPI/EPC 13,8KV / SOLICITAR BLOQUEIO DO RL XXXX  / CRUZAMENTO DE LT/RD: N/A. 
LM:
USAR EPI/EPC 13,8KV / ATERRAMENTO: NA / BLOQUEIO RL N/A / CRUZAMENTO DE LT/RD: N/A.</t>
      </text>
    </comment>
    <comment authorId="0" ref="BI45">
      <text>
        <t xml:space="preserve">LV - JACOBINA
01. QTD EQUIPES 01 LV / 01 LM/ 02. AR U465100 - RICARDO BRITO/ 03. SUBST MRA370581 - PATRICIO DA SILVA BARBOSA 92 991473742/ 04. SUBST NTS884580 - CARLOS ANDRE SANTOS DA SILVA/ 05. SUBST .MRA096553-RODRIGO STS. SILVA 06. SUBST .MRA811574- JAILTON DA SILVA 07.  SUBST .MRA152590 - EMERSON DE CARVALHO  08. SUBST .MRA148601- CLEBSON REIS NETO 09. SUBST .MRA666519-DOUGLAS DA SILVA MELO
 ETEMILSON: 
LM JACOBINA:
01. QTD EQUIPE 01LM/ 02. AR U465100 - RICARDO BRITO/ 03. SUB.MRA148601- CLEBSON REIS NETO/ 04. SUB. MRA666519-DOUGLAS DA SILVA MELO/ 05. SUB .MRA571535-GERALDO DA COSTA GOMES 06.SUB.MRA811574- JAILTON DA SILVA  07. SUB..MRA096553-RODRIGO STS. SILVA 08. SUB.MRA738523 - JULIO SERAFIM DAMACENO 09. MRA152590 - EMERSON DE CARVALHO  10.  .MRA258541- CARLOS CRUZ SANTANA 11.NTS219592 - JAIR DE JESUS </t>
      </text>
    </comment>
    <comment authorId="0" ref="V46">
      <text>
        <t xml:space="preserve">ENCABEÇAR RD BT NO PG: D036111 E ENERGIZAR OBRA.
</t>
      </text>
    </comment>
    <comment authorId="0" ref="BA46">
      <text>
        <t xml:space="preserve">LM:
USAR EPI/EPC 13,8KV / ATERRAMENTO: NA / BLOQUEIO RL N/A / CRUZAMENTO DE LT/RD: N/A.
</t>
      </text>
    </comment>
    <comment authorId="0" ref="BI46">
      <text>
        <t xml:space="preserve"> ETEMILSON: 
LM JACOBINA:
01. QTD EQUIPE 01LM/ 02. AR U465100 - RICARDO BRITO/ 03. SUB.MRA148601- CLEBSON REIS NETO/ 04. SUB. MRA666519-DOUGLAS DA SILVA MELO/ 05. SUB .MRA571535-GERALDO DA COSTA GOMES 06.SUB.MRA811574- JAILTON DA SILVA  07. SUB..MRA096553-RODRIGO STS. SILVA 08. SUB.MRA738523 - JULIO SERAFIM DAMACENO 09. MRA152590 - EMERSON DE CARVALHO  10.  .MRA258541- CARLOS CRUZ SANTANA 11.NTS219592 - JAIR DE JESUS </t>
      </text>
    </comment>
    <comment authorId="0" ref="X47">
      <text>
        <t xml:space="preserve">ABRIR CHAVE: N45917 PARA ADICIONAR FASE DO PG: B184157 AO B914882, SUBSTITUIR TF: G58589 POR TF 3F-30 E ENERGIZAR OBRA. </t>
      </text>
    </comment>
    <comment authorId="0" ref="S48">
      <text>
        <t xml:space="preserve">MONTAR BANCADA COM N3 NO PG: D369575, FECHAR CHAVE NOVA PRÓXIMO AO PG: D369575 E ENERGIZAR OBRA.
</t>
      </text>
    </comment>
    <comment authorId="0" ref="V48">
      <text>
        <t xml:space="preserve">FECHAR CHAVE NOVA PRÓXIMO AO PG: D369575 E ENERGIZAR OBRA.</t>
      </text>
    </comment>
    <comment authorId="0" ref="BA48">
      <text>
        <t xml:space="preserve">LV:
USAR EPI/EPC 13,8KV / SOLICITAR BLOQUEIO DO RL XXXX  / CRUZAMENTO DE LT/RD: N/A. 
LM:
USAR EPI/EPC 13,8KV / ATERRAMENTO: NA / BLOQUEIO RL N/A / CRUZAMENTO DE LT/RD: N/A.</t>
      </text>
    </comment>
    <comment authorId="0" ref="BB48">
      <text>
        <t xml:space="preserve">LV - JACOBINA
01. QTD EQUIPES 01 LV / 01 LM/ 02. AR U107662 - NATALICIO MENDES/ 03. SUBST MRA370581 - PATRICIO DA SILVA BARBOSA 92 991473742/ 04. SUBST NTS884580 - CARLOS ANDRE SANTOS DA SILVA/ 05. SUBST .NTS333599 - JUCELINO DOS SANTOS  06. SUBST .MRA252517 - LUCIANO NUNES DA SILVA  07.  SUBST .MRA554506- FABIANO LOPES MORAES  08. SUBST .MRA219559 - CAIQUE SILVA LIMA 09. SUBST . MRA177595- DIOGO CRUZ DOS SANTOS</t>
      </text>
    </comment>
    <comment authorId="0" ref="BI48">
      <text>
        <t xml:space="preserve"> ETEMILSON: 
LM JACOBINA:
01. QTD EQUIPE 01LM/ 02. AR U460544 - NAILTON SANTANA/ 03. SUB.MRA148601- CLEBSON REIS NETO/ 04. SUB. MRA666519-DOUGLAS DA SILVA MELO/ 05. SUB .MRA571535-GERALDO DA COSTA GOMES 06.SUB.MRA811574- JAILTON DA SILVA  07. SUB..MRA096553-RODRIGO STS. SILVA 08. SUB.MRA738523 - JULIO SERAFIM DAMACENO 09. MRA152590 - EMERSON DE CARVALHO  10.  .MRA258541- CARLOS CRUZ SANTANA 11.NTS219592 - JAIR DE JESUS </t>
      </text>
    </comment>
    <comment authorId="0" ref="S49">
      <text>
        <t xml:space="preserve">ALTERAR ESTRUTURA DE N3 P/ N4 NO PG: D283206 ENERGIZAR OBRA. </t>
      </text>
    </comment>
    <comment authorId="0" ref="V49">
      <text>
        <t xml:space="preserve">FECHAR CHAVE NOVA PRÓXIMO AO PG: D283206 E ENERGIZAR OBRA.
</t>
      </text>
    </comment>
    <comment authorId="0" ref="BA49">
      <text>
        <t xml:space="preserve">LV:
USAR EPI/EPC 13,8KV / SOLICITAR BLOQUEIO DO RL XXXX  / CRUZAMENTO DE LT/RD: N/A. 
LM:
USAR EPI/EPC 13,8KV / ATERRAMENTO: NA / BLOQUEIO RL N/A / CRUZAMENTO DE LT/RD: N/A.</t>
      </text>
    </comment>
    <comment authorId="0" ref="BB49">
      <text>
        <t xml:space="preserve">LV - JACOBINA
01. QTD EQUIPES 01 LV / 01 LM/ 02. AR U460544 - NAILTON SANTANA/ 03. SUBST MRA370581 - PATRICIO DA SILVA BARBOSA 92 991473742/ 04. SUBST NTS884580 - CARLOS ANDRE SANTOS DA SILVA/ 05. SUBST .NTS333599 - JUCELINO DOS SANTOS  06. SUBST .MRA252517 - LUCIANO NUNES DA SILVA  07.  SUBST .MRA554506- FABIANO LOPES MORAES  08. SUBST .MRA219559 - CAIQUE SILVA LIMA 09. SUBST . MRA177595- DIOGO CRUZ DOS SANTOS
</t>
      </text>
    </comment>
    <comment authorId="0" ref="BI49">
      <text>
        <t xml:space="preserve"> ETEMILSON: 
LM JACOBINA:
01. QTD EQUIPE 01LM/ 02. AR U460544 - NAILTON SANTANA/ 03. SUB.MRA148601- CLEBSON REIS NETO/ 04. SUB. MRA666519-DOUGLAS DA SILVA MELO/ 05. SUB .MRA571535-GERALDO DA COSTA GOMES 06.SUB.MRA811574- JAILTON DA SILVA  07. SUB..MRA096553-RODRIGO STS. SILVA 08. SUB.MRA738523 - JULIO SERAFIM DAMACENO 09. MRA152590 - EMERSON DE CARVALHO  10.  .MRA258541- CARLOS CRUZ SANTANA 11.NTS219592 - JAIR DE JESUS 
</t>
      </text>
    </comment>
    <comment authorId="0" ref="S50">
      <text>
        <t xml:space="preserve">INTERCALAR POSTE AT COM N1-3 ENTRE OS PG: E776590 - E776589, FECHAR CHAVE NOVA PRÓXIMO AO PG: E776590  E ENERGIZAR OBRA.
</t>
      </text>
    </comment>
    <comment authorId="0" ref="V50">
      <text>
        <t xml:space="preserve">FECHAR CHAVE NOVA PRÓXIMO AO PG: E776590  E ENERGIZAR OBRA.</t>
      </text>
    </comment>
    <comment authorId="0" ref="BA50">
      <text>
        <t xml:space="preserve">LV:
USAR EPI/EPC 13,8KV / SOLICITAR BLOQUEIO DO RL XXXX  / CRUZAMENTO DE LT/RD: N/A. 
LM:
USAR EPI/EPC 13,8KV / ATERRAMENTO: NA / BLOQUEIO RL N/A / CRUZAMENTO DE LT/RD: N/A.</t>
      </text>
    </comment>
    <comment authorId="0" ref="BB50">
      <text>
        <t xml:space="preserve">LV - JACOBINA
01. QTD EQUIPES 01 LV / 01 LM/ 02. AR U460544 - NAILTON SANTANA/ 03. SUBST MRA370581 - PATRICIO DA SILVA BARBOSA 92 991473742/ 04. SUBST NTS884580 - CARLOS ANDRE SANTOS DA SILVA/ 05. SUBST .NTS333599 - JUCELINO DOS SANTOS  06. SUBST .MRA252517 - LUCIANO NUNES DA SILVA  07.  SUBST .MRA554506- FABIANO LOPES MORAES  08. SUBST .MRA219559 - CAIQUE SILVA LIMA 09. SUBST . MRA177595- DIOGO CRUZ DOS SANTOS
</t>
      </text>
    </comment>
    <comment authorId="0" ref="BI50">
      <text>
        <t xml:space="preserve"> ETEMILSON: 
LM JACOBINA:
01. QTD EQUIPE 01LM/ 02. AR U460544 - NAILTON SANTANA/ 03. SUB.MRA148601- CLEBSON REIS NETO/ 04. SUB. MRA666519-DOUGLAS DA SILVA MELO/ 05. SUB .MRA571535-GERALDO DA COSTA GOMES 06.SUB.MRA811574- JAILTON DA SILVA  07. SUB..MRA096553-RODRIGO STS. SILVA 08. SUB.MRA738523 - JULIO SERAFIM DAMACENO 09. MRA152590 - EMERSON DE CARVALHO  10.  .MRA258541- CARLOS CRUZ SANTANA 11.NTS219592 - JAIR DE JESUS 
</t>
      </text>
    </comment>
    <comment authorId="0" ref="S51">
      <text>
        <t xml:space="preserve">INTERCALAR POSTE AT COM N1-3 ENTRE OS PG: B041333 - B041334, FECHAR CHAVE NOVA PRÓXIMO AO PG: B041333  E ENERGIZAR OBRA.
</t>
      </text>
    </comment>
    <comment authorId="0" ref="V51">
      <text>
        <t xml:space="preserve">FECHAR CHAVE NOVA PRÓXIMO AO PG: B041333  E ENERGIZAR OBRA.</t>
      </text>
    </comment>
    <comment authorId="0" ref="BA51">
      <text>
        <t xml:space="preserve">LV:
USAR EPI/EPC 13,8KV / SOLICITAR BLOQUEIO DO RL XXXX  / CRUZAMENTO DE LT/RD: N/A. 
LM:
USAR EPI/EPC 13,8KV / ATERRAMENTO: NA / BLOQUEIO RL N/A / CRUZAMENTO DE LT/RD: N/A.</t>
      </text>
    </comment>
    <comment authorId="0" ref="BB51">
      <text>
        <t xml:space="preserve">LV - JACOBINA
01. QTD EQUIPES 01 LV / 01 LM/ 02. AR ERIC TEIXEIRA  U361045/ 03. SUBST MRA370581 - PATRICIO DA SILVA BARBOSA 92 991473742/ 04. SUBST NTS884580 - CARLOS ANDRE SANTOS DA SILVA/ 05. SUBST .NTS333599 - JUCELINO DOS SANTOS  06. SUBST .MRA252517 - LUCIANO NUNES DA SILVA  07.  SUBST .MRA554506- FABIANO LOPES MORAES  08. SUBST .MRA219559 - CAIQUE SILVA LIMA 09. SUBST . MRA177595- DIOGO CRUZ DOS SANTOS
</t>
      </text>
    </comment>
    <comment authorId="0" ref="BI51">
      <text>
        <t xml:space="preserve"> ETEMILSON: 
LM JACOBINA:
01. QTD EQUIPE 01LM/ 02. AR ERIC TEIXEIRA  U361045/ 03. SUB.MRA148601- CLEBSON REIS NETO/ 04. SUB. MRA666519-DOUGLAS DA SILVA MELO/ 05. SUB .MRA571535-GERALDO DA COSTA GOMES 06.SUB.MRA811574- JAILTON DA SILVA  07. SUB..MRA096553-RODRIGO STS. SILVA 08. SUB.MRA738523 - JULIO SERAFIM DAMACENO 09. MRA152590 - EMERSON DE CARVALHO  10.  .MRA258541- CARLOS CRUZ SANTANA 11.NTS219592 - JAIR DE JESUS 
</t>
      </text>
    </comment>
    <comment authorId="0" ref="S52">
      <text>
        <t xml:space="preserve">INTERCALAR POSTE AT COM N4-3 NO POSTE NOVO PRÓXIMO AO  PG: E521377, FECHAR CHAVE NOVA PRÓXIMO AO PG: E521377 E ENERGIZAR OBRA.
</t>
      </text>
    </comment>
    <comment authorId="0" ref="V52">
      <text>
        <t xml:space="preserve">FECHAR CHAVE NOVA PRÓXIMO AO PG: E521377 E ENERGIZAR OBRA.</t>
      </text>
    </comment>
    <comment authorId="0" ref="BA52">
      <text>
        <t xml:space="preserve">LV:
USAR EPI/EPC 13,8KV / SOLICITAR BLOQUEIO DO RL XXXX  / CRUZAMENTO DE LT/RD: N/A. 
LM:
USAR EPI/EPC 13,8KV / ATERRAMENTO: NA / BLOQUEIO RL N/A / CRUZAMENTO DE LT/RD: N/A.</t>
      </text>
    </comment>
    <comment authorId="0" ref="BB52">
      <text>
        <t xml:space="preserve">LV - JACOBINA
01. QTD EQUIPES 01 LV / 01 LM/ 02. AR ERIC TEIXEIRA  U361045/ 03. SUBST MRA370581 - PATRICIO DA SILVA BARBOSA 92 991473742/ 04. SUBST NTS884580 - CARLOS ANDRE SANTOS DA SILVA/ 05. SUBST .NTS333599 - JUCELINO DOS SANTOS  06. SUBST .MRA252517 - LUCIANO NUNES DA SILVA  07.  SUBST .MRA554506- FABIANO LOPES MORAES  08. SUBST .MRA219559 - CAIQUE SILVA LIMA 09. SUBST . MRA177595- DIOGO CRUZ DOS SANTOS
</t>
      </text>
    </comment>
    <comment authorId="0" ref="BI52">
      <text>
        <t xml:space="preserve"> ETEMILSON: 
LM JACOBINA:
01. QTD EQUIPE 01LM/ 02. AR ERIC TEIXEIRA  U361045/ 03. SUB.MRA148601- CLEBSON REIS NETO/ 04. SUB. MRA666519-DOUGLAS DA SILVA MELO/ 05. SUB .MRA571535-GERALDO DA COSTA GOMES 06.SUB.MRA811574- JAILTON DA SILVA  07. SUB..MRA096553-RODRIGO STS. SILVA 08. SUB.MRA738523 - JULIO SERAFIM DAMACENO 09. MRA152590 - EMERSON DE CARVALHO  10.  .MRA258541- CARLOS CRUZ SANTANA 11.NTS219592 - JAIR DE JESUS 
</t>
      </text>
    </comment>
    <comment authorId="0" ref="S53">
      <text>
        <t xml:space="preserve">INTERCALAR POSTE AT COM N1 ENTRE OS PG: D160101 - D160102, ENCABEÇAR RD BT NO PG: D160103 E ENERGIZAR OBRA.
</t>
      </text>
    </comment>
    <comment authorId="0" ref="V53">
      <text>
        <t xml:space="preserve">ENCABEÇAR RD BT NO PG: D160103 E ENERGIZAR OBRA.</t>
      </text>
    </comment>
    <comment authorId="0" ref="BA53">
      <text>
        <t xml:space="preserve">LV:
USAR EPI/EPC 13,8KV / SOLICITAR BLOQUEIO DO RL XXXX  / CRUZAMENTO DE LT/RD: N/A. 
LM:
USAR EPI/EPC 13,8KV / ATERRAMENTO: NA / BLOQUEIO RL N/A / CRUZAMENTO DE LT/RD: N/A.</t>
      </text>
    </comment>
    <comment authorId="0" ref="BB53">
      <text>
        <t xml:space="preserve">LV - JACOBINA
01. QTD EQUIPES 01 LV / 01 LM/ 02. AR ERIC TEIXEIRA  U361045/ 03. SUBST MRA370581 - PATRICIO DA SILVA BARBOSA 92 991473742/ 04. SUBST NTS884580 - CARLOS ANDRE SANTOS DA SILVA/ 05. SUBST .NTS333599 - JUCELINO DOS SANTOS  06. SUBST .MRA252517 - LUCIANO NUNES DA SILVA  07.  SUBST .MRA554506- FABIANO LOPES MORAES  08. SUBST .MRA219559 - CAIQUE SILVA LIMA 09. SUBST . MRA177595- DIOGO CRUZ DOS SANTOS
</t>
      </text>
    </comment>
    <comment authorId="0" ref="BI53">
      <text>
        <t xml:space="preserve"> ETEMILSON: 
LM JACOBINA:
01. QTD EQUIPE 01LM/ 02. AR ERIC TEIXEIRA  U361045/ 03. SUB.MRA148601- CLEBSON REIS NETO/ 04. SUB. MRA666519-DOUGLAS DA SILVA MELO/ 05. SUB .MRA571535-GERALDO DA COSTA GOMES 06.SUB.MRA811574- JAILTON DA SILVA  07. SUB..MRA096553-RODRIGO STS. SILVA 08. SUB.MRA738523 - JULIO SERAFIM DAMACENO 09. MRA152590 - EMERSON DE CARVALHO  10.  .MRA258541- CARLOS CRUZ SANTANA 11.NTS219592 - JAIR DE JESUS 
</t>
      </text>
    </comment>
    <comment authorId="0" ref="S54">
      <text>
        <t xml:space="preserve">INTERCALAR POSTE AT COM N1 ENTRE OS PG: R071830 - R071831, ENCABEÇAR RD BT NO PG: R071831 E ENERGIZAR OBRA.
</t>
      </text>
    </comment>
    <comment authorId="0" ref="V54">
      <text>
        <t xml:space="preserve">ENCABEÇAR RD BT NO PG: R071831 E ENERGIZAR OBRA.
</t>
      </text>
    </comment>
    <comment authorId="0" ref="BA54">
      <text>
        <t xml:space="preserve">LV:
USAR EPI/EPC 13,8KV / SOLICITAR BLOQUEIO DO RL XXXX  / CRUZAMENTO DE LT/RD: N/A. 
LM:
USAR EPI/EPC 13,8KV / ATERRAMENTO: NA / BLOQUEIO RL N/A / CRUZAMENTO DE LT/RD: N/A.</t>
      </text>
    </comment>
    <comment authorId="0" ref="BB54">
      <text>
        <t xml:space="preserve">LV - JACOBINA
01. QTD EQUIPES 01 LV / 01 LM/ 02. AR ERIC TEIXEIRA  U361045/ 03. SUBST MRA370581 - PATRICIO DA SILVA BARBOSA 92 991473742/ 04. SUBST NTS884580 - CARLOS ANDRE SANTOS DA SILVA/ 05. SUBST .NTS333599 - JUCELINO DOS SANTOS  06. SUBST .MRA252517 - LUCIANO NUNES DA SILVA  07.  SUBST .MRA554506- FABIANO LOPES MORAES  08. SUBST .MRA219559 - CAIQUE SILVA LIMA 09. SUBST . MRA177595- DIOGO CRUZ DOS SANTOS
</t>
      </text>
    </comment>
    <comment authorId="0" ref="BI54">
      <text>
        <t xml:space="preserve"> ETEMILSON: 
LM JACOBINA:
01. QTD EQUIPE 01LM/ 02. AR ERIC TEIXEIRA  U361045/ 03. SUB.MRA148601- CLEBSON REIS NETO/ 04. SUB. MRA666519-DOUGLAS DA SILVA MELO/ 05. SUB .MRA571535-GERALDO DA COSTA GOMES 06.SUB.MRA811574- JAILTON DA SILVA  07. SUB..MRA096553-RODRIGO STS. SILVA 08. SUB.MRA738523 - JULIO SERAFIM DAMACENO 09. MRA152590 - EMERSON DE CARVALHO  10.  .MRA258541- CARLOS CRUZ SANTANA 11.NTS219592 - JAIR DE JESUS 
</t>
      </text>
    </comment>
    <comment authorId="0" ref="S55">
      <text>
        <t xml:space="preserve">ALTERAR ESTRUTURA DE N3P/ N4 NO PG: D319735, FECHAR CHAVE NOVA PRÓXIMO AO PG: D319735 E ENERGIZAR OBRA.
</t>
      </text>
    </comment>
    <comment authorId="0" ref="V55">
      <text>
        <t xml:space="preserve">FECHAR CHAVE NOVA PRÓXIMO AO PG: D319735 E ENERGIZAR OBRA.
</t>
      </text>
    </comment>
    <comment authorId="0" ref="BA55">
      <text>
        <t xml:space="preserve">LV:
USAR EPI/EPC  34,5KV/ SOLICITAR BLOQUEIO DO RL XXXX  / CRUZAMENTO DE LT/RD: N/A.               
LM:  
USAR EPI/EPC  34,5KV / ATERRAMENTO: NA / BLOQUEIO RL N/A / CRUZAMENTO DE LT/RD: N/A.</t>
      </text>
    </comment>
    <comment authorId="0" ref="BB55">
      <text>
        <t xml:space="preserve">LV - JACOBINA
01. QTD EQUIPES 01 LV / 01 LM/ 02. AR U464710 - MANOEL GUSTAVO/ 03. SUBST MRA370581 - PATRICIO DA SILVA BARBOSA 92 991473742/ 04. SUBST NTS884580 - CARLOS ANDRE SANTOS DA SILVA/ 05. SUBST .NTS333599 - JUCELINO DOS SANTOS  06. SUBST .MRA252517 - LUCIANO NUNES DA SILVA  07.  SUBST .MRA554506- FABIANO LOPES MORAES  08. SUBST .MRA219559 - CAIQUE SILVA LIMA 09. SUBST . MRA177595- DIOGO CRUZ DOS SANTOS</t>
      </text>
    </comment>
    <comment authorId="0" ref="BI55">
      <text>
        <t xml:space="preserve">GILVANDO:
LM JACOBINA:
01. QTD EQUIPES 01LM/ 02. AR U464710 - MANOEL GUSTAVO/ 03. RESP SUBST MRA252517 - LUCIANO NUNES DA SILVA / 04. R  MRA177595- DIOGO CRUZ DOS SANTOS ESP SUBST MRA554506- FABIANO LOPES MORAES / 05. RESP SUBST . 06. RESP SUBST .  07. RESP SUBST .MRA219559 - CAIQUE SILVA LIMA 08. RESP SUBST .NTS025538 - GILVANDO RIOS DA CRUZ 92 99521-6405 </t>
      </text>
    </comment>
    <comment authorId="0" ref="S56">
      <text>
        <t xml:space="preserve">ALTERAR ESTRUTURA DE N3 P/ N4 NO PG: R071669, FECHAR CHAVE NOVA PRÓXIMO AO PG: R071669 E ENERGIZAR OBRA.
</t>
      </text>
    </comment>
    <comment authorId="0" ref="V56">
      <text>
        <t xml:space="preserve">FECHAR CHAVE NOVA PRÓXIMO AO PG: R071669 E ENERGIZAR OBRA.</t>
      </text>
    </comment>
    <comment authorId="0" ref="BA56">
      <text>
        <t xml:space="preserve">LV:
USAR EPI/EPC 13,8KV / SOLICITAR BLOQUEIO DO RL XXXX  / CRUZAMENTO DE LT/RD: N/A. 
LM:
USAR EPI/EPC 13,8KV / ATERRAMENTO: NA / BLOQUEIO RL N/A / CRUZAMENTO DE LT/RD: N/A.</t>
      </text>
    </comment>
    <comment authorId="0" ref="BB56">
      <text>
        <t xml:space="preserve">LV - JACOBINA
01. QTD EQUIPES 01 LV / 01 LM/ 02. AR ERIC TEIXEIRA  U361045/ 03. SUBST MRA370581 - PATRICIO DA SILVA BARBOSA 92 991473742/ 04. SUBST NTS884580 - CARLOS ANDRE SANTOS DA SILVA/ 05. SUBST .NTS333599 - JUCELINO DOS SANTOS  06. SUBST .MRA666519-DOUGLAS DA SILVA MELO 07.  SUBST .MRA571535-GERALDO DA COSTA GOMES 08. SUBST .MRA152590 - EMERSON DE CARVALHO  09. SUBST .MRA096553-RODRIGO STS. SILVA</t>
      </text>
    </comment>
    <comment authorId="0" ref="BI56">
      <text>
        <t xml:space="preserve"> ETEMILSON: 
LM JACOBINA:
01. QTD EQUIPE 01LM/ 02. AR ERIC TEIXEIRA  U361045/ 03. SUB.MRA148601- CLEBSON REIS NETO/ 04. SUB. MRA666519-DOUGLAS DA SILVA MELO/ 05. SUB .MRA571535-GERALDO DA COSTA GOMES 06.SUB.MRA811574- JAILTON DA SILVA  07. SUB..MRA096553-RODRIGO STS. SILVA 08. SUB.MRA738523 - JULIO SERAFIM DAMACENO 09. MRA152590 - EMERSON DE CARVALHO  10.  .MRA258541- CARLOS CRUZ SANTANA 11.NTS219592 - JAIR DE JESUS 
</t>
      </text>
    </comment>
    <comment authorId="0" ref="S57">
      <text>
        <t xml:space="preserve">ALTERAR ESTRUTURA DE N3 P/ N4 NO PG: E161193, FECHAR CHAVE NOVA PRÓXIMO AO PG: E161193 E ENERGIZAR OBRA.
</t>
      </text>
    </comment>
    <comment authorId="0" ref="V57">
      <text>
        <t xml:space="preserve">FECHAR CHAVE NOVA PRÓXIMO AO PG: E161193 E ENERGIZAR OBRA.</t>
      </text>
    </comment>
    <comment authorId="0" ref="BA57">
      <text>
        <t xml:space="preserve">LV:
USAR EPI/EPC 13,8KV / SOLICITAR BLOQUEIO DO RL XXXX  / CRUZAMENTO DE LT/RD: N/A. 
LM:
USAR EPI/EPC 13,8KV / ATERRAMENTO: NA / BLOQUEIO RL N/A / CRUZAMENTO DE LT/RD: N/A.</t>
      </text>
    </comment>
    <comment authorId="0" ref="BB57">
      <text>
        <t xml:space="preserve">LV - JACOBINA
01. QTD EQUIPES 01 LV / 01 LM/ 02. AR ERIC TEIXEIRA  U361045/ 03. SUBST MRA370581 - PATRICIO DA SILVA BARBOSA 92 991473742/ 04. SUBST NTS884580 - CARLOS ANDRE SANTOS DA SILVA/ 05. SUBST .NTS333599 - JUCELINO DOS SANTOS  06. SUBST .MRA666519-DOUGLAS DA SILVA MELO 07.  SUBST .MRA571535-GERALDO DA COSTA GOMES 08. SUBST .MRA152590 - EMERSON DE CARVALHO  09. SUBST .MRA096553-RODRIGO STS. SILVA</t>
      </text>
    </comment>
    <comment authorId="0" ref="BI57">
      <text>
        <t xml:space="preserve"> ETEMILSON: 
LM JACOBINA:
01. QTD EQUIPE 01LM/ 02. AR ERIC TEIXEIRA  U361045/ 03. SUB.MRA148601- CLEBSON REIS NETO/ 04. SUB. MRA666519-DOUGLAS DA SILVA MELO/ 05. SUB .MRA571535-GERALDO DA COSTA GOMES 06.SUB.MRA811574- JAILTON DA SILVA  07. SUB..MRA096553-RODRIGO STS. SILVA 08. SUB.MRA738523 - JULIO SERAFIM DAMACENO 09. MRA152590 - EMERSON DE CARVALHO  10.  .MRA258541- CARLOS CRUZ SANTANA 11.NTS219592 - JAIR DE JESUS 
</t>
      </text>
    </comment>
    <comment authorId="0" ref="S58">
      <text>
        <t xml:space="preserve">ALTERAR ESTRUTURA DE N3 P/ N4 NO PG: D319580, FECHAR CHAVE NOVA PRÓXIMO AO PG: D319580 E ENERGIZAR OBRA.
</t>
      </text>
    </comment>
    <comment authorId="0" ref="V58">
      <text>
        <t xml:space="preserve">FECHAR CHAVE NOVA PRÓXIMO AO PG: D319580 E ENERGIZAR OBRA.
</t>
      </text>
    </comment>
    <comment authorId="0" ref="BA58">
      <text>
        <t xml:space="preserve">LV:
USAR EPI/EPC 13,8KV / SOLICITAR BLOQUEIO DO RL XXXX  / CRUZAMENTO DE LT/RD: N/A. 
LM:
USAR EPI/EPC 13,8KV / ATERRAMENTO: NA / BLOQUEIO RL N/A / CRUZAMENTO DE LT/RD: N/A.</t>
      </text>
    </comment>
    <comment authorId="0" ref="BB58">
      <text>
        <t xml:space="preserve">LV - JACOBINA
01. QTD EQUIPES 01 LV / 01 LM/ 02. AR ERIC TEIXEIRA  U361045/ 03. SUBST MRA370581 - PATRICIO DA SILVA BARBOSA 92 991473742/ 04. SUBST NTS884580 - CARLOS ANDRE SANTOS DA SILVA/ 05. SUBST .NTS333599 - JUCELINO DOS SANTOS  06. SUBST .MRA666519-DOUGLAS DA SILVA MELO 07.  SUBST .MRA571535-GERALDO DA COSTA GOMES 08. SUBST .MRA152590 - EMERSON DE CARVALHO  09. SUBST .MRA096553-RODRIGO STS. SILVA</t>
      </text>
    </comment>
    <comment authorId="0" ref="BI58">
      <text>
        <t xml:space="preserve"> ETEMILSON: 
LM JACOBINA:
01. QTD EQUIPE 01LM/ 02. AR ERIC TEIXEIRA  U361045/ 03. SUB.MRA148601- CLEBSON REIS NETO/ 04. SUB. MRA666519-DOUGLAS DA SILVA MELO/ 05. SUB .MRA571535-GERALDO DA COSTA GOMES 06.SUB.MRA811574- JAILTON DA SILVA  07. SUB..MRA096553-RODRIGO STS. SILVA 08. SUB.MRA738523 - JULIO SERAFIM DAMACENO 09. MRA152590 - EMERSON DE CARVALHO  10.  .MRA258541- CARLOS CRUZ SANTANA 11.NTS219592 - JAIR DE JESUS 
</t>
      </text>
    </comment>
    <comment authorId="0" ref="S60">
      <text>
        <t xml:space="preserve">INTERCALAR POSTE AT COM N1 E TRAFO ENTRE OS PG: B160957 - B160956 E ENERGIZAR OBRA.
</t>
      </text>
    </comment>
    <comment authorId="0" ref="BA60">
      <text>
        <t xml:space="preserve">LV:
USAR EPI/EPC 13,8KV / SOLICITAR BLOQUEIO DO RL XXXX  / CRUZAMENTO DE LT/RD: N/A. 
LM:
USAR EPI/EPC 13,8KV / ATERRAMENTO: NA / BLOQUEIO RL N/A / CRUZAMENTO DE LT/RD: N/A.</t>
      </text>
    </comment>
    <comment authorId="0" ref="BB60">
      <text>
        <t xml:space="preserve">LV - JACOBINA
01. QTD EQUIPES 01 LV / 01 LM/ 02. AR U464710 - MANOEL GUSTAVO/ 03. SUBST MRA370581 - PATRICIO DA SILVA BARBOSA 92 991473742/ 04. SUBST NTS884580 - CARLOS ANDRE SANTOS DA SILVA/ 05. SUBST .NTS333599 - JUCELINO DOS SANTOS  06. SUBST .MRA252517 - LUCIANO NUNES DA SILVA  07.  SUBST .MRA554506- FABIANO LOPES MORAES  08. SUBST .MRA219559 - CAIQUE SILVA LIMA 09. SUBST . MRA177595- DIOGO CRUZ DOS SANTOS</t>
      </text>
    </comment>
    <comment authorId="0" ref="S61">
      <text>
        <t xml:space="preserve">INTERCALAR POSTE AT COM N4-3 ENTRE OS PG: D175922 - D175923, FECHAR CHAVE NOVA PRÓXIMO AO PG: D175923 E ENERGIZAR OBRA.
</t>
      </text>
    </comment>
    <comment authorId="0" ref="V61">
      <text>
        <t xml:space="preserve">FECHAR CHAVE NOVA PRÓXIMO AO PG: D175923 E ENERGIZAR OBRA.</t>
      </text>
    </comment>
    <comment authorId="0" ref="BA61">
      <text>
        <t xml:space="preserve">LV:
USAR EPI/EPC 13,8KV / SOLICITAR BLOQUEIO DO RL XXXX  / CRUZAMENTO DE LT/RD: N/A. 
LM:
USAR EPI/EPC 13,8KV / ATERRAMENTO: NA / BLOQUEIO RL N/A / CRUZAMENTO DE LT/RD: N/A.</t>
      </text>
    </comment>
    <comment authorId="0" ref="BB61">
      <text>
        <t xml:space="preserve">LV - JACOBINA
01. QTD EQUIPES 01 LV / 01 LM/ 02. AR U465100 - RICARDO BRITO/ 03. SUBST MRA370581 - PATRICIO DA SILVA BARBOSA 92 991473742/ 04. SUBST NTS884580 - CARLOS ANDRE SANTOS DA SILVA/ 05. SUBST .NTS333599 - JUCELINO DOS SANTOS  06. SUBST .MRA666519-DOUGLAS DA SILVA MELO 07.  SUBST .MRA571535-GERALDO DA COSTA GOMES 08. SUBST .MRA811574- JAILTON DA SILVA 09. SUBST .MRA152590 - EMERSON DE CARVALHO </t>
      </text>
    </comment>
    <comment authorId="0" ref="BI61">
      <text>
        <t xml:space="preserve"> ETEMILSON: 
LM JACOBINA:
01. QTD EQUIPE 01LM/ 02. AR U465100 - RICARDO BRITO/ 03. SUB.MRA148601- CLEBSON REIS NETO/ 04. SUB. MRA666519-DOUGLAS DA SILVA MELO/ 05. SUB .MRA571535-GERALDO DA COSTA GOMES 06.SUB.MRA811574- JAILTON DA SILVA  07. SUB..MRA096553-RODRIGO STS. SILVA 08. SUB.MRA738523 - JULIO SERAFIM DAMACENO 09. MRA152590 - EMERSON DE CARVALHO  10.  .MRA258541- CARLOS CRUZ SANTANA 11.NTS219592 - JAIR DE JESUS </t>
      </text>
    </comment>
    <comment authorId="0" ref="S62">
      <text>
        <t xml:space="preserve">INTERCALAR POSTE AT COM N1 ENTRE OS PG: R098551 - R093850. ENCABEÇAR RD BT NO PG: E852092 E ENERGIZAR OBRA.
</t>
      </text>
    </comment>
    <comment authorId="0" ref="BA62">
      <text>
        <t xml:space="preserve">LV:
USAR EPI/EPC 13,8KV / SOLICITAR BLOQUEIO DO RL XXXX  / CRUZAMENTO DE LT/RD: N/A. 
LM:
USAR EPI/EPC 13,8KV / ATERRAMENTO: NA / BLOQUEIO RL N/A / CRUZAMENTO DE LT/RD: N/A.</t>
      </text>
    </comment>
    <comment authorId="0" ref="BB62">
      <text>
        <t xml:space="preserve">LV - JACOBINA
01. QTD EQUIPES 01 LV / 01 LM/ 02. AR U464710 - MANOEL GUSTAVO/ 03. SUBST MRA370581 - PATRICIO DA SILVA BARBOSA 92 991473742/ 04. SUBST NTS884580 - CARLOS ANDRE SANTOS DA SILVA/ 05. SUBST .NTS333599 - JUCELINO DOS SANTOS  06. SUBST .MRA252517 - LUCIANO NUNES DA SILVA  07.  SUBST .MRA554506- FABIANO LOPES MORAES  08. SUBST .MRA219559 - CAIQUE SILVA LIMA 09. SUBST . MRA177595- DIOGO CRUZ DOS SANTOS</t>
      </text>
    </comment>
    <comment authorId="0" ref="S63">
      <text>
        <t xml:space="preserve">INTERCALAR POSTE AT COM N1-3 ENTRE OS PG: L435409 - L435404, FECHAR CHAVE NOVA PRÓXIMO AO PG: L435409  E ENERGIZAR OBRA.
</t>
      </text>
    </comment>
    <comment authorId="0" ref="V63">
      <text>
        <t xml:space="preserve">FECHAR CHAVE NOVA PRÓXIMO AO PG: L435409  E ENERGIZAR OBRA.</t>
      </text>
    </comment>
    <comment authorId="0" ref="BA63">
      <text>
        <t xml:space="preserve">LV:
USAR EPI/EPC 13,8KV / SOLICITAR BLOQUEIO DO RL XXXX  / CRUZAMENTO DE LT/RD: N/A. 
LM:
USAR EPI/EPC 13,8KV / ATERRAMENTO: NA / BLOQUEIO RL N/A / CRUZAMENTO DE LT/RD: N/A.</t>
      </text>
    </comment>
    <comment authorId="0" ref="BI63">
      <text>
        <t xml:space="preserve">ETEMILSON: 
LM JACOBINA:
01. QTD EQUIPE 01LM/ 02. AR U464710 - MANOEL GUSTAVO/ 03. SUB.MRA148601- CLEBSON REIS NETO/ 04. SUB. MRA666519-DOUGLAS DA SILVA MELO/ 05. SUB .MRA571535-GERALDO DA COSTA GOMES 06.SUB.MRA811574- JAILTON DA SILVA  07. SUB..MRA096553-RODRIGO STS. SILVA 08. SUB.MRA738523 - JULIO SERAFIM DAMACENO 09. MRA152590 - EMERSON DE CARVALHO  10.  .MRA258541- CARLOS CRUZ SANTANA 11.NTS219592 - JAIR DE JESUS </t>
      </text>
    </comment>
    <comment authorId="0" ref="S64">
      <text>
        <t xml:space="preserve">ALTERAR ESTRUTURA DE B3 P/ B4 NO PG: D393285, FECHAR CHAVE NOVA PRÓXIMO AO PG: D393285 E ENERGIZAR OBRA.
</t>
      </text>
    </comment>
    <comment authorId="0" ref="U64">
      <text>
        <t xml:space="preserve">SUBSTITUIR POSTES BT POR AT DO PG: R039224 AO D310345 E ENERGIZAR OBRA.</t>
      </text>
    </comment>
    <comment authorId="0" ref="V64">
      <text>
        <t xml:space="preserve">FECHAR CHAVE NOVA PRÓXIMO AO PG: D393285 E ENERGIZAR OBRA.</t>
      </text>
    </comment>
    <comment authorId="0" ref="X64">
      <text>
        <t xml:space="preserve">ABRIR CHAVE DO TF: XXX P/ SUBSTITUIR POSTES BT POR AT DO PG: R039224 AO D310345, SECCIONAR RD BT NO PG: R039226 E ENERGIZAR OBRA.</t>
      </text>
    </comment>
    <comment authorId="0" ref="BA64">
      <text>
        <t xml:space="preserve">LV:
USAR EPI/EPC 13,8KV / SOLICITAR BLOQUEIO DO RL XXXX  / CRUZAMENTO DE LT/RD: N/A. 
LM:
USAR EPI/EPC 13,8KV / ATERRAMENTO: NA / BLOQUEIO RL N/A / CRUZAMENTO DE LT/RD: N/A.</t>
      </text>
    </comment>
    <comment authorId="0" ref="BB64">
      <text>
        <t xml:space="preserve">LV - JACOBINA
01. QTD EQUIPES 01 LV / 01 LM/ 02. AR U465100 - RICARDO BRITO/ 03. SUBST MRA370581 - PATRICIO DA SILVA BARBOSA 92 991473742/ 04. SUBST NTS884580 - CARLOS ANDRE SANTOS DA SILVA/ 05. SUBST .NTS333599 - JUCELINO DOS SANTOS  06. SUBST .MRA666519-DOUGLAS DA SILVA MELO 07.  SUBST .MRA571535-GERALDO DA COSTA GOMES 08. SUBST .MRA811574- JAILTON DA SILVA 09. SUBST .MRA152590 - EMERSON DE CARVALHO </t>
      </text>
    </comment>
    <comment authorId="0" ref="BI64">
      <text>
        <t xml:space="preserve"> ETEMILSON: 
LM JACOBINA:
01. QTD EQUIPE 01LM/ 02. AR U465100 - RICARDO BRITO/ 03. SUB.MRA148601- CLEBSON REIS NETO/ 04. SUB. MRA666519-DOUGLAS DA SILVA MELO/ 05. SUB .MRA571535-GERALDO DA COSTA GOMES 06.SUB.MRA811574- JAILTON DA SILVA  07. SUB..MRA096553-RODRIGO STS. SILVA 08. SUB.MRA738523 - JULIO SERAFIM DAMACENO 09. MRA152590 - EMERSON DE CARVALHO  10.  .MRA258541- CARLOS CRUZ SANTANA 11.NTS219592 - JAIR DE JESUS </t>
      </text>
    </comment>
    <comment authorId="0" ref="S65">
      <text>
        <t xml:space="preserve">INTERCALAR POSTE AT C/ N1 ENTRE OS PG: E368249 - E368250, ENCABEÇAR RD BT NO PG: E368251, E368333 E ENERGIZAR OBRA.</t>
      </text>
    </comment>
    <comment authorId="0" ref="V65">
      <text>
        <t xml:space="preserve">ENCABEÇAR RD BT NO PG: E368251,  E368334, FECHAR CHAVE NOVA PRÓXIMO AO PG: E368312 E ENERGIZAR OBRA.
</t>
      </text>
    </comment>
    <comment authorId="0" ref="BA65">
      <text>
        <t xml:space="preserve">LV:
USAR EPI/EPC 13,8KV / SOLICITAR BLOQUEIO DO RL XXXX  / CRUZAMENTO DE LT/RD: N/A. 
LM:
USAR EPI/EPC 13,8KV / ATERRAMENTO: NA / BLOQUEIO RL N/A / CRUZAMENTO DE LT/RD: N/A.</t>
      </text>
    </comment>
    <comment authorId="0" ref="BB65">
      <text>
        <t xml:space="preserve">LV - JACOBINA
01. QTD EQUIPES 01 LV / 01 LM/ 02. AR ERIC TEIXEIRA  U361045/ 03. SUBST MRA370581 - PATRICIO DA SILVA BARBOSA 92 991473742/ 04. SUBST NTS884580 - CARLOS ANDRE SANTOS DA SILVA/ 05. SUBST .NTS333599 - JUCELINO DOS SANTOS  06. SUBST .MRA666519-DOUGLAS DA SILVA MELO 07.  SUBST .MRA571535-GERALDO DA COSTA GOMES 08. SUBST .MRA811574- JAILTON DA SILVA 09. SUBST .MRA152590 - EMERSON DE CARVALHO </t>
      </text>
    </comment>
    <comment authorId="0" ref="BI65">
      <text>
        <t xml:space="preserve"> ETEMILSON: 
LM JACOBINA:
01. QTD EQUIPE 01LM/ 02. AR ERIC TEIXEIRA  U361045/ 03. SUB.MRA148601- CLEBSON REIS NETO/ 04. SUB. MRA666519-DOUGLAS DA SILVA MELO/ 05. SUB .MRA571535-GERALDO DA COSTA GOMES 06.SUB.MRA811574- JAILTON DA SILVA  07. SUB..MRA096553-RODRIGO STS. SILVA 08. SUB.MRA738523 - JULIO SERAFIM DAMACENO 09. MRA152590 - EMERSON DE CARVALHO  10.  .MRA258541- CARLOS CRUZ SANTANA 11.NTS219592 - JAIR DE JESUS </t>
      </text>
    </comment>
    <comment authorId="0" ref="V66">
      <text>
        <t xml:space="preserve">ENCABEÇAR RD BT NO PG: E600945 E ENERGIZAR OBRA.
</t>
      </text>
    </comment>
    <comment authorId="0" ref="BA66">
      <text>
        <t xml:space="preserve">LM:
USAR EPI/EPC 13,8KV / ATERRAMENTO: NA / BLOQUEIO RL N/A / CRUZAMENTO DE LT/RD: N/A.</t>
      </text>
    </comment>
    <comment authorId="0" ref="BI66">
      <text>
        <t xml:space="preserve">ETEMILSON: 
LM JACOBINA:
01. QTD EQUIPE 01LM/ 02. AR U464710 - MANOEL GUSTAVO/ 03. SUB.MRA148601- CLEBSON REIS NETO/ 04. SUB. MRA666519-DOUGLAS DA SILVA MELO/ 05. SUB .MRA571535-GERALDO DA COSTA GOMES 06.SUB.MRA811574- JAILTON DA SILVA  07. SUB..MRA096553-RODRIGO STS. SILVA 08. SUB.MRA738523 - JULIO SERAFIM DAMACENO 09. MRA152590 - EMERSON DE CARVALHO  10.  .MRA258541- CARLOS CRUZ SANTANA 11.NTS219592 - JAIR DE JESUS </t>
      </text>
    </comment>
    <comment authorId="0" ref="V67">
      <text>
        <t xml:space="preserve">ENCABEÇAR RD BT NO PG: B913928 E ENERGIZAR OBRA.
</t>
      </text>
    </comment>
    <comment authorId="0" ref="BA67">
      <text>
        <t xml:space="preserve">LM:
USAR EPI/EPC 13,8KV / ATERRAMENTO: NA / BLOQUEIO RL N/A / CRUZAMENTO DE LT/RD: N/A.</t>
      </text>
    </comment>
    <comment authorId="0" ref="BI67">
      <text>
        <t xml:space="preserve"> ETEMILSON: 
LM JACOBINA:
01. QTD EQUIPE 01LM/ 02. AR U465100 - RICARDO BRITO/ 03. SUB.MRA148601- CLEBSON REIS NETO/ 04. SUB. MRA666519-DOUGLAS DA SILVA MELO/ 05. SUB .MRA571535-GERALDO DA COSTA GOMES 06.SUB.MRA811574- JAILTON DA SILVA  07. SUB..MRA096553-RODRIGO STS. SILVA 08. SUB.MRA738523 - JULIO SERAFIM DAMACENO 09. MRA152590 - EMERSON DE CARVALHO  10.  .MRA258541- CARLOS CRUZ SANTANA 11.NTS219592 - JAIR DE JESUS </t>
      </text>
    </comment>
    <comment authorId="0" ref="S68">
      <text>
        <t xml:space="preserve">INTERCALAR POSTE AT COM N1 ENTRE OS PG: D096926 - D096925, ENCABEÇAR RD BT NO PG: D096926  E ENERGIZAR OBRA.
</t>
      </text>
    </comment>
    <comment authorId="0" ref="BA68">
      <text>
        <t xml:space="preserve">LV:
USAR EPI/EPC 13,8KV / SOLICITAR BLOQUEIO DO RL XXXX  / CRUZAMENTO DE LT/RD: N/A. 
LM:
USAR EPI/EPC 13,8KV / ATERRAMENTO: NA / BLOQUEIO RL N/A / CRUZAMENTO DE LT/RD: N/A.</t>
      </text>
    </comment>
    <comment authorId="0" ref="BB68">
      <text>
        <t xml:space="preserve">LV - JACOBINA
01. QTD EQUIPES 01 LV / 01 LM/ 02. AR U460544 - NAILTON SANTANA/ 03. SUBST MRA370581 - PATRICIO DA SILVA BARBOSA 92 991473742/ 04. SUBST NTS884580 - CARLOS ANDRE SANTOS DA SILVA/ 05. SUBST .NTS333599 - JUCELINO DOS SANTOS  06. SUBST .MRA666519-DOUGLAS DA SILVA MELO 07.  SUBST .MRA571535-GERALDO DA COSTA GOMES 08. SUBST .MRA811574- JAILTON DA SILVA 09. SUBST .MRA152590 - EMERSON DE CARVALHO </t>
      </text>
    </comment>
    <comment authorId="0" ref="S69">
      <text>
        <t xml:space="preserve">INTERCALAR 02 POSTES AT COM N1 ENTRE OS PG: B914836 - B914828, ENCABEÇAR RD BT NO PG: B914836 E ENERGIZAR OBRA.
</t>
      </text>
    </comment>
    <comment authorId="0" ref="BA69">
      <text>
        <t xml:space="preserve">LV:
USAR EPI/EPC  34,5KV/ SOLICITAR BLOQUEIO DO RL XXXX  / CRUZAMENTO DE LT/RD: N/A.               
LM:  
USAR EPI/EPC  34,5KV / ATERRAMENTO: NA / BLOQUEIO RL N/A / CRUZAMENTO DE LT/RD: N/A.</t>
      </text>
    </comment>
    <comment authorId="0" ref="BB69">
      <text>
        <t xml:space="preserve">LV - JACOBINA
01. QTD EQUIPES 01 LV / 01 LM/ 02. AR ERIC TEIXEIRA  U361045/ 03. SUBST MRA370581 - PATRICIO DA SILVA BARBOSA 92 991473742/ 04. SUBST NTS884580 - CARLOS ANDRE SANTOS DA SILVA/ 05. SUBST .NTS333599 - JUCELINO DOS SANTOS  06. SUBST .MRA666519-DOUGLAS DA SILVA MELO 07.  SUBST .MRA571535-GERALDO DA COSTA GOMES 08. SUBST .MRA811574- JAILTON DA SILVA 09. SUBST .MRA152590 - EMERSON DE CARVALHO </t>
      </text>
    </comment>
    <comment authorId="0" ref="S70">
      <text>
        <t xml:space="preserve">INTERCALAR POSTE AT COM N1 E TRAFO ENTRE OS PG: E389562, E389563, ALTERAR N1 EM N4 NO PG: E389563 E ENERGIZAR OBRA.
</t>
      </text>
    </comment>
    <comment authorId="0" ref="BA70">
      <text>
        <t xml:space="preserve">LV:
USAR EPI/EPC  34,5KV/ SOLICITAR BLOQUEIO DO RL XXXX  / CRUZAMENTO DE LT/RD: N/A.               
LM:  
USAR EPI/EPC  34,5KV / ATERRAMENTO: NA / BLOQUEIO RL N/A / CRUZAMENTO DE LT/RD: N/A.</t>
      </text>
    </comment>
    <comment authorId="0" ref="BB70">
      <text>
        <t xml:space="preserve">LV - JACOBINA
01. QTD EQUIPES 01 LV / 01 LM/ 02. AR U465100 - RICARDO BRITO/ 03. SUBST MRA370581 - PATRICIO DA SILVA BARBOSA 92 991473742/ 04. SUBST NTS884580 - CARLOS ANDRE SANTOS DA SILVA/ 05. SUBST .NTS333599 - JUCELINO DOS SANTOS  06. SUBST .MRA666519-DOUGLAS DA SILVA MELO 07.  SUBST .MRA571535-GERALDO DA COSTA GOMES 08. SUBST .MRA811574- JAILTON DA SILVA 09. SUBST .MRA152590 - EMERSON DE CARVALHO </t>
      </text>
    </comment>
    <comment authorId="0" ref="V71">
      <text>
        <t xml:space="preserve">ENCABEÇAR RD BT NO PG: D353327 E ENERGIZAR OBRA.
</t>
      </text>
    </comment>
    <comment authorId="0" ref="BA71">
      <text>
        <t xml:space="preserve">LM:  
USAR EPI/EPC  34,5KV / ATERRAMENTO: NA / BLOQUEIO RL N/A / CRUZAMENTO DE LT/RD: N/A.</t>
      </text>
    </comment>
    <comment authorId="0" ref="BI71">
      <text>
        <t xml:space="preserve"> ETEMILSON: 
LM JACOBINA:
01. QTD EQUIPE 01LM/ 02. AR ERIC TEIXEIRA  U361045/ 03. SUB.MRA148601- CLEBSON REIS NETO/ 04. SUB. MRA666519-DOUGLAS DA SILVA MELO/ 05. SUB .MRA571535-GERALDO DA COSTA GOMES 06.SUB.MRA811574- JAILTON DA SILVA  07. SUB..MRA096553-RODRIGO STS. SILVA 08. SUB.MRA738523 - JULIO SERAFIM DAMACENO 09. MRA152590 - EMERSON DE CARVALHO  10.  .MRA258541- CARLOS CRUZ SANTANA 11.NTS219592 - JAIR DE JESUS </t>
      </text>
    </comment>
    <comment authorId="0" ref="V72">
      <text>
        <t xml:space="preserve">ABRIR CH: J05580 PARA ADICIONAR FASE DO PG: R023628 AO B999649, SUBST. TF: V00016 POR 3F-30KVA, RECONDUTORAMENTO BT DO PG: B999648 AO B999683 E ENERGIZAR OBRA.</t>
      </text>
    </comment>
    <comment authorId="0" ref="X72">
      <text>
        <t xml:space="preserve">ABRIR CH: J05580 PARA ADICIONAR FASE DO PG: R023628 AO B999649, SUBST. TF: V00016 POR 3F-30KVA, RECONDUTORAMENTO BT DO PG: B999648 AO B999683 E ENERGIZAR OBRA.</t>
      </text>
    </comment>
    <comment authorId="0" ref="S73">
      <text>
        <t xml:space="preserve">ADICIONAR FASE DO PG: R010871 AO D702227 E ENERGIZAR OBRA.</t>
      </text>
    </comment>
    <comment authorId="0" ref="X73">
      <text>
        <t xml:space="preserve">ABRIR CHAVE: N55078 PARA ADICIONAR FASE DO PG: D702227 AO D710596, SUBST. TF: N38667 E RD BT DO PG: D710596 AO D930008 E ENERGIZAR OBRA.</t>
      </text>
    </comment>
    <comment authorId="0" ref="BA73">
      <text>
        <t xml:space="preserve">LV:
USAR EPI/EPC 13,8KV / SOLICITAR BLOQUEIO DO RL XXXX  / CRUZAMENTO DE LT/RD: N/A. 
LM:
USAR EPI/EPC 13,8KV / ATERRAMENTO: NA / BLOQUEIO RL N/A / CRUZAMENTO DE LT/RD: N/A.</t>
      </text>
    </comment>
    <comment authorId="0" ref="BB73">
      <text>
        <t xml:space="preserve">LV - JACOBINA
01. QTD EQUIPES 01 LV / 01 LM/ 02. AR U465100 - RICARDO BRITO/ 03. SUBST MRA370581 - PATRICIO DA SILVA BARBOSA 92 991473742/ 04. SUBST NTS884580 - CARLOS ANDRE SANTOS DA SILVA/ 05. SUBST .NTS333599 - JUCELINO DOS SANTOS  06. SUBST .MRA666519-DOUGLAS DA SILVA MELO 07.  SUBST .MRA571535-GERALDO DA COSTA GOMES 08. SUBST .MRA811574- JAILTON DA SILVA 09. SUBST .MRA152590 - EMERSON DE CARVALHO </t>
      </text>
    </comment>
    <comment authorId="0" ref="S74">
      <text>
        <t xml:space="preserve">INTERCALAR POSTE AT COM N1 E TRAFO ENTRE OS PG: R000376 - R000377, FECHAR CHAVE NOVA PRÓXIMO AO PG: R000376  E ENERGIZAR OBRA.
</t>
      </text>
    </comment>
    <comment authorId="0" ref="BA74">
      <text>
        <t xml:space="preserve">LV:
USAR EPI/EPC  34,5KV/ SOLICITAR BLOQUEIO DO RL XXXX  / CRUZAMENTO DE LT/RD: N/A.               
LM:  
USAR EPI/EPC  34,5KV / ATERRAMENTO: NA / BLOQUEIO RL N/A / CRUZAMENTO DE LT/RD: N/A.</t>
      </text>
    </comment>
    <comment authorId="0" ref="BB74">
      <text>
        <t xml:space="preserve">LV - JACOBINA
01. QTD EQUIPES 01 LV / 01 LM/ 02. AR U465100 - RICARDO BRITO/ 03. SUBST MRA370581 - PATRICIO DA SILVA BARBOSA 92 991473742/ 04. SUBST NTS884580 - CARLOS ANDRE SANTOS DA SILVA/ 05. SUBST .NTS333599 - JUCELINO DOS SANTOS  06. SUBST .MRA666519-DOUGLAS DA SILVA MELO 07.  SUBST .MRA571535-GERALDO DA COSTA GOMES 08. SUBST .MRA811574- JAILTON DA SILVA 09. SUBST .MRA152590 - EMERSON DE CARVALHO </t>
      </text>
    </comment>
    <comment authorId="0" ref="S75">
      <text>
        <t xml:space="preserve">SUBSTITUIR POSTE AT NO PG: D699667 POR 12/1500 E ENERGIZAR OBRA.</t>
      </text>
    </comment>
    <comment authorId="0" ref="X75">
      <text>
        <t xml:space="preserve">ABRIR CH: N56135 P/ LV SUBST. PT AT NO PG: D699667 POR 12/1500, LM SUBSTITUIR PTS E RD AT DO R020649 AO R020653 E ENERGIZAR OBRA.</t>
      </text>
    </comment>
    <comment authorId="0" ref="BA75">
      <text>
        <t xml:space="preserve">LV:
USAR EPI/EPC  34,5KV/ SOLICITAR BLOQUEIO DO RL XXXX  / CRUZAMENTO DE LT/RD: N/A.               
LM:  
USAR EPI/EPC  34,5KV / ATERRAMENTO: NA / BLOQUEIO RL N/A / CRUZAMENTO DE LT/RD: N/A.</t>
      </text>
    </comment>
    <comment authorId="0" ref="BB75">
      <text>
        <t xml:space="preserve">LV - JACOBINA
01. QTD EQUIPES 01 LV / 01 LM/ 02. AR U465100 - RICARDO BRITO/ 03. SUBST MRA370581 - PATRICIO DA SILVA BARBOSA 92 991473742/ 04. SUBST NTS884580 - CARLOS ANDRE SANTOS DA SILVA/ 05. SUBST .NTS333599 - JUCELINO DOS SANTOS  06. SUBST .MRA666519-DOUGLAS DA SILVA MELO 07.  SUBST .MRA571535-GERALDO DA COSTA GOMES 08. SUBST .MRA811574- JAILTON DA SILVA 09. SUBST .MRA152590 - EMERSON DE CARVALHO </t>
      </text>
    </comment>
    <comment authorId="0" ref="S76">
      <text>
        <t xml:space="preserve">INTERCALAR 02 POSTES AT COM N1 E N1 E TRAFO ENTRE OS PG: R035829 - R035828 E ENERGIZAR OBRA.
</t>
      </text>
    </comment>
    <comment authorId="0" ref="BA76">
      <text>
        <t xml:space="preserve">LV:
USAR EPI/EPC 13,8KV / SOLICITAR BLOQUEIO DO RL XXXX  / CRUZAMENTO DE LT/RD: N/A. 
LM:
USAR EPI/EPC 13,8KV / ATERRAMENTO: NA / BLOQUEIO RL N/A / CRUZAMENTO DE LT/RD: N/A.</t>
      </text>
    </comment>
    <comment authorId="0" ref="BB76">
      <text>
        <t xml:space="preserve">LV - JACOBINA
01. QTD EQUIPES 01 LV / 01 LM/ 02. AR U460544 - NAILTON SANTANA/ 03. SUBST MRA370581 - PATRICIO DA SILVA BARBOSA 92 991473742/ 04. SUBST NTS884580 - CARLOS ANDRE SANTOS DA SILVA/ 05. SUBST .NTS333599 - JUCELINO DOS SANTOS  06. SUBST .MRA666519-DOUGLAS DA SILVA MELO 07.  SUBST .MRA571535-GERALDO DA COSTA GOMES 08. SUBST .MRA811574- JAILTON DA SILVA 09. SUBST .MRA152590 - EMERSON DE CARVALHO </t>
      </text>
    </comment>
    <comment authorId="0" ref="V77">
      <text>
        <t xml:space="preserve">INTRECALAR POSTE BT ENTRE OS PG: E236428 - E236427 E ENERGIZAR OBRA.</t>
      </text>
    </comment>
    <comment authorId="0" ref="BA77">
      <text>
        <t xml:space="preserve">LM:
USAR EPI/EPC 13,8KV / ATERRAMENTO: NA / BLOQUEIO RL N/A / CRUZAMENTO DE LT/RD: N/A.</t>
      </text>
    </comment>
    <comment authorId="0" ref="BI77">
      <text>
        <t xml:space="preserve"> ETEMILSON: 
LM JACOBINA:
01. QTD EQUIPE 01LM/ 02. AR U465100 - RICARDO BRITO/ 03. SUB.MRA148601- CLEBSON REIS NETO/ 04. SUB. MRA666519-DOUGLAS DA SILVA MELO/ 05. SUB .MRA571535-GERALDO DA COSTA GOMES 06.SUB.MRA811574- JAILTON DA SILVA  07. SUB..MRA096553-RODRIGO STS. SILVA 08. SUB.MRA738523 - JULIO SERAFIM DAMACENO 09. MRA152590 - EMERSON DE CARVALHO  10.  .MRA258541- CARLOS CRUZ SANTANA 11.NTS219592 - JAIR DE JESUS </t>
      </text>
    </comment>
    <comment authorId="0" ref="V78">
      <text>
        <t xml:space="preserve">ENCABEÇAR RD BT NO PG: E215853 E ENERGIZAR OBRA.
</t>
      </text>
    </comment>
    <comment authorId="0" ref="BA78">
      <text>
        <t xml:space="preserve">LM:
USAR EPI/EPC 13,8KV / ATERRAMENTO: NA / BLOQUEIO RL N/A / CRUZAMENTO DE LT/RD: N/A.</t>
      </text>
    </comment>
    <comment authorId="0" ref="BI78">
      <text>
        <t xml:space="preserve"> ETEMILSON: 
LM JACOBINA:
01. QTD EQUIPE 01LM/ 02. AR U465100 - RICARDO BRITO/ 03. SUB.MRA148601- CLEBSON REIS NETO/ 04. SUB. MRA666519-DOUGLAS DA SILVA MELO/ 05. SUB .MRA571535-GERALDO DA COSTA GOMES 06.SUB.MRA811574- JAILTON DA SILVA  07. SUB..MRA096553-RODRIGO STS. SILVA 08. SUB.MRA738523 - JULIO SERAFIM DAMACENO 09. MRA152590 - EMERSON DE CARVALHO  10.  .MRA258541- CARLOS CRUZ SANTANA 11.NTS219592 - JAIR DE JESUS </t>
      </text>
    </comment>
    <comment authorId="0" ref="S79">
      <text>
        <t xml:space="preserve">INTERCALAR POSTE AT COM N1 E TRAFO ENTRE OS PG: D096885 - D096884, FECHAR CHAVE NOVA PRÓXIMO AO PG: D096885  E ENERGIZAR OBRA.
</t>
      </text>
    </comment>
    <comment authorId="0" ref="BA79">
      <text>
        <t xml:space="preserve">LV:
USAR EPI/EPC 13,8KV / SOLICITAR BLOQUEIO DO RL XXXX  / CRUZAMENTO DE LT/RD: N/A. 
LM:
USAR EPI/EPC 13,8KV / ATERRAMENTO: NA / BLOQUEIO RL N/A / CRUZAMENTO DE LT/RD: N/A.</t>
      </text>
    </comment>
    <comment authorId="0" ref="BB79">
      <text>
        <t xml:space="preserve">LV - JACOBINA
01. QTD EQUIPES 01 LV / 01 LM/ 02. AR U460544 - NAILTON SANTANA/ 03. SUBST MRA370581 - PATRICIO DA SILVA BARBOSA 92 991473742/ 04. SUBST NTS884580 - CARLOS ANDRE SANTOS DA SILVA/ 05. SUBST .NTS333599 - JUCELINO DOS SANTOS  06. SUBST .MRA666519-DOUGLAS DA SILVA MELO 07.  SUBST .MRA571535-GERALDO DA COSTA GOMES 08. SUBST .MRA811574- JAILTON DA SILVA 09. SUBST .MRA152590 - EMERSON DE CARVALHO </t>
      </text>
    </comment>
    <comment authorId="0" ref="V80">
      <text>
        <t xml:space="preserve">ENCABEÇAR RD BT NO PG: B185905 E ENERGIZAR OBRA.
</t>
      </text>
    </comment>
    <comment authorId="0" ref="BA80">
      <text>
        <t xml:space="preserve">LM:
USAR EPI/EPC 13,8KV / ATERRAMENTO: NA / BLOQUEIO RL N/A / CRUZAMENTO DE LT/RD: N/A.</t>
      </text>
    </comment>
    <comment authorId="0" ref="BI80">
      <text>
        <t xml:space="preserve"> ETEMILSON: 
LM JACOBINA:
01. QTD EQUIPE 01LM/ 02. AR U460544 - NAILTON SANTANA/ 03. SUB.MRA148601- CLEBSON REIS NETO/ 04. SUB. MRA666519-DOUGLAS DA SILVA MELO/ 05. SUB .MRA571535-GERALDO DA COSTA GOMES 06.SUB.MRA811574- JAILTON DA SILVA  07. SUB..MRA096553-RODRIGO STS. SILVA 08. SUB.MRA738523 - JULIO SERAFIM DAMACENO 09. MRA152590 - EMERSON DE CARVALHO  10.  .MRA258541- CARLOS CRUZ SANTANA 11.NTS219592 - JAIR DE JESUS </t>
      </text>
    </comment>
    <comment authorId="0" ref="S81">
      <text>
        <t xml:space="preserve">INTERCALAR POSTE AT COM  N1-3 ENTRE OS PG: D699677 - D699733, FECHAR CHAVE NOVA PRÓXIMO AO PG: D699677  E ENERGIZAR OBRA.
</t>
      </text>
    </comment>
    <comment authorId="0" ref="V81">
      <text>
        <t xml:space="preserve">FECHAR CHAVE NOVA PRÓXIMO AO PG: D699677  E ENERGIZAR OBRA.</t>
      </text>
    </comment>
    <comment authorId="0" ref="BA81">
      <text>
        <t xml:space="preserve">LV:
USAR EPI/EPC  34,5KV/ SOLICITAR BLOQUEIO DO RL XXXX  / CRUZAMENTO DE LT/RD: N/A.               
LM:  
USAR EPI/EPC  34,5KV / ATERRAMENTO: NA / BLOQUEIO RL N/A / CRUZAMENTO DE LT/RD: N/A.</t>
      </text>
    </comment>
    <comment authorId="0" ref="BB81">
      <text>
        <t xml:space="preserve">LV - JACOBINA
01. QTD EQUIPES 01 LV / 01 LM/ 02. AR U465100 - RICARDO BRITO/ 03. SUBST MRA370581 - PATRICIO DA SILVA BARBOSA 92 991473742/ 04. SUBST NTS884580 - CARLOS ANDRE SANTOS DA SILVA/ 05. SUBST .NTS333599 - JUCELINO DOS SANTOS  06. SUBST .MRA666519-DOUGLAS DA SILVA MELO 07.  SUBST .MRA571535-GERALDO DA COSTA GOMES 08. SUBST .MRA811574- JAILTON DA SILVA 09. SUBST .MRA152590 - EMERSON DE CARVALHO </t>
      </text>
    </comment>
    <comment authorId="0" ref="BI81">
      <text>
        <t xml:space="preserve"> ETEMILSON: 
LM JACOBINA:
01. QTD EQUIPE 01LM/ 02. AR U465100 - RICARDO BRITO/ 03. SUB.MRA148601- CLEBSON REIS NETO/ 04. SUB. MRA666519-DOUGLAS DA SILVA MELO/ 05. SUB .MRA571535-GERALDO DA COSTA GOMES 06.SUB.MRA811574- JAILTON DA SILVA  07. SUB..MRA096553-RODRIGO STS. SILVA 08. SUB.MRA738523 - JULIO SERAFIM DAMACENO 09. MRA152590 - EMERSON DE CARVALHO  10.  .MRA258541- CARLOS CRUZ SANTANA 11.NTS219592 - JAIR DE JESUS </t>
      </text>
    </comment>
    <comment authorId="0" ref="S82">
      <text>
        <t xml:space="preserve">INTERCALAR POSTE AT COM N1 E TRAFO ENTRE OS PG: L436793- L436795 E ENERGIZAR OBRA.
</t>
      </text>
    </comment>
    <comment authorId="0" ref="X82">
      <text>
        <t xml:space="preserve">ABRIR CH. TRAFO: T20293 PARA RECONDUTORAMENTO BT DO PG: D321847 AO D321846, DESATIVAR TRAFO T20293  E ENERGIZAR OBRA ATRAVÉS DO TRAFO NOVO. </t>
      </text>
    </comment>
    <comment authorId="0" ref="BA82">
      <text>
        <t xml:space="preserve">LV:
USAR EPI/EPC 13,8KV / SOLICITAR BLOQUEIO DO RL XXXX  / CRUZAMENTO DE LT/RD: N/A. 
LM:
USAR EPI/EPC 13,8KV / ATERRAMENTO: NA / BLOQUEIO RL N/A / CRUZAMENTO DE LT/RD: N/A.</t>
      </text>
    </comment>
    <comment authorId="0" ref="BB82">
      <text>
        <t xml:space="preserve">LV - JACOBINA
01. QTD EQUIPES 01 LV / 01 LM/ 02. AR U464710 - MANOEL GUSTAVO/ 03. SUBST MRA370581 - PATRICIO DA SILVA BARBOSA 92 991473742/ 04. SUBST NTS884580 - CARLOS ANDRE SANTOS DA SILVA/ 05. SUBST .NTS333599 - JUCELINO DOS SANTOS  06. SUBST .MRA252517 - LUCIANO NUNES DA SILVA  07.  SUBST .MRA554506- FABIANO LOPES MORAES  08. SUBST .MRA219559 - CAIQUE SILVA LIMA 09. SUBST . MRA177595- DIOGO CRUZ DOS SANTOS</t>
      </text>
    </comment>
    <comment authorId="0" ref="S83">
      <text>
        <t xml:space="preserve">INTERCALAR POSTE AT COM N1 ENTRE OS PG: D699714 - D699715, ENCABEÇAR RD BT NO PG: D699715 E ENERGIZAR OBRA.</t>
      </text>
    </comment>
    <comment authorId="0" ref="BA83">
      <text>
        <t xml:space="preserve">LV:
USAR EPI/EPC  34,5KV/ SOLICITAR BLOQUEIO DO RL XXXX  / CRUZAMENTO DE LT/RD: N/A.               
LM:  
USAR EPI/EPC  34,5KV / ATERRAMENTO: NA / BLOQUEIO RL N/A / CRUZAMENTO DE LT/RD: N/A.</t>
      </text>
    </comment>
    <comment authorId="0" ref="BB83">
      <text>
        <t xml:space="preserve">LV - JACOBINA
01. QTD EQUIPES 01 LV / 01 LM/ 02. AR U465100 - RICARDO BRITO/ 03. SUBST MRA370581 - PATRICIO DA SILVA BARBOSA 92 991473742/ 04. SUBST NTS884580 - CARLOS ANDRE SANTOS DA SILVA/ 05. SUBST .NTS333599 - JUCELINO DOS SANTOS  06. SUBST .MRA666519-DOUGLAS DA SILVA MELO 07.  SUBST .MRA571535-GERALDO DA COSTA GOMES 08. SUBST .MRA811574- JAILTON DA SILVA 09. SUBST .MRA152590 - EMERSON DE CARVALHO </t>
      </text>
    </comment>
    <comment authorId="0" ref="V84">
      <text>
        <t xml:space="preserve">ENCABEÇAR RD BT NO PG: R017623 E ENERGIZAR OBRA.
</t>
      </text>
    </comment>
    <comment authorId="0" ref="BA84">
      <text>
        <t xml:space="preserve">LM:
USAR EPI/EPC 13,8KV / ATERRAMENTO: NA / BLOQUEIO RL N/A / CRUZAMENTO DE LT/RD: N/A.</t>
      </text>
    </comment>
    <comment authorId="0" ref="BI84">
      <text>
        <t xml:space="preserve"> ETEMILSON: 
LM JACOBINA:
01. QTD EQUIPE 01LM/ 02. AR U460544 - NAILTON SANTANA/ 03. SUB.MRA148601- CLEBSON REIS NETO/ 04. SUB. MRA666519-DOUGLAS DA SILVA MELO/ 05. SUB .MRA571535-GERALDO DA COSTA GOMES 06.SUB.MRA811574- JAILTON DA SILVA  07. SUB..MRA096553-RODRIGO STS. SILVA 08. SUB.MRA738523 - JULIO SERAFIM DAMACENO 09. MRA152590 - EMERSON DE CARVALHO  10.  .MRA258541- CARLOS CRUZ SANTANA 11.NTS219592 - JAIR DE JESUS </t>
      </text>
    </comment>
    <comment authorId="0" ref="S85">
      <text>
        <t xml:space="preserve">INTERCALAR POSTE AT COM N1 E TRAFO ENTRE OS PG: D110448 - D110447 E ENERGIZAR OBRA.
</t>
      </text>
    </comment>
    <comment authorId="0" ref="BA85">
      <text>
        <t xml:space="preserve">LV:
USAR EPI/EPC  34,5KV/ SOLICITAR BLOQUEIO DO RL XXXX  / CRUZAMENTO DE LT/RD: N/A.               
LM:  
USAR EPI/EPC  34,5KV / ATERRAMENTO: NA / BLOQUEIO RL N/A / CRUZAMENTO DE LT/RD: N/A.</t>
      </text>
    </comment>
    <comment authorId="0" ref="BB85">
      <text>
        <t xml:space="preserve">LV - JACOBINA
01. QTD EQUIPES 01 LV / 01 LM/ 02. AR U465100 - RICARDO BRITO/ 03. SUBST MRA370581 - PATRICIO DA SILVA BARBOSA 92 991473742/ 04. SUBST NTS884580 - CARLOS ANDRE SANTOS DA SILVA/ 05. SUBST .NTS333599 - JUCELINO DOS SANTOS  06. SUBST .MRA666519-DOUGLAS DA SILVA MELO 07.  SUBST .MRA571535-GERALDO DA COSTA GOMES 08. SUBST .MRA811574- JAILTON DA SILVA 09. SUBST .MRA152590 - EMERSON DE CARVALHO </t>
      </text>
    </comment>
    <comment authorId="0" ref="S86">
      <text>
        <t xml:space="preserve">INTERCALAR POSTE AT COM N1 E TRAFO ENTRE OS PG: R034701 - R034700, FECHAR CHAVE NOVA PRÓXIMO AO PG: R034701  E ENERGIZAR OBRA.
</t>
      </text>
    </comment>
    <comment authorId="0" ref="V86">
      <text>
        <t xml:space="preserve">ENCABEÇAR RD BT NO PG: E059297 E ENERGIZAR OBRA.
</t>
      </text>
    </comment>
    <comment authorId="0" ref="X86">
      <text>
        <t xml:space="preserve">DA TOMBO NO TRAFO: XXX PARA SECCIONR RD BT NO PG: R034701 E ENERGIZAR PELO TRAFO NOVO.</t>
      </text>
    </comment>
    <comment authorId="0" ref="BA86">
      <text>
        <t xml:space="preserve">LM:
USAR EPI/EPC 13,8KV / ATERRAMENTO: NA / BLOQUEIO RL N/A / CRUZAMENTO DE LT/RD: N/A.
</t>
      </text>
    </comment>
    <comment authorId="0" ref="BI86">
      <text>
        <t xml:space="preserve"> ETEMILSON: 
LM JACOBINA:
01. QTD EQUIPE 01LM/ 02. AR U460544 - NAILTON SANTANA/ 03. SUB.MRA148601- CLEBSON REIS NETO/ 04. SUB. MRA666519-DOUGLAS DA SILVA MELO/ 05. SUB .MRA571535-GERALDO DA COSTA GOMES 06.SUB.MRA811574- JAILTON DA SILVA  07. SUB..MRA096553-RODRIGO STS. SILVA 08. SUB.MRA738523 - JULIO SERAFIM DAMACENO 09. MRA152590 - EMERSON DE CARVALHO  10.  .MRA258541- CARLOS CRUZ SANTANA 11.NTS219592 - JAIR DE JESUS </t>
      </text>
    </comment>
    <comment authorId="0" ref="S87">
      <text>
        <t xml:space="preserve">INTERCALAR POSTE AT COM N4 ENTRE OS PG: R038550 - R038549, SUBSTITUIR POSTE AT POR 11/1000 NO PG: R038550  E ENERGIZAR OBRA.</t>
      </text>
    </comment>
    <comment authorId="0" ref="X87">
      <text>
        <t xml:space="preserve">MANOBRA: ABRIR CHAVE NF: XXX E FECHAR CHAVE NA: XXX TRANSFERINDO O FLUXO PARA TRECHO NOVO PARA LV DESATIVAR RD MT DO PG: D038550 - R038549 E ENERGIZAR OBRA.</t>
      </text>
    </comment>
    <comment authorId="0" ref="BA87">
      <text>
        <t xml:space="preserve">LV:
USAR EPI/EPC 13,8KV / SOLICITAR BLOQUEIO DO RL XXXX  / CRUZAMENTO DE LT/RD: N/A. 
LM:
USAR EPI/EPC 13,8KV / ATERRAMENTO: NA / BLOQUEIO RL N/A / CRUZAMENTO DE LT/RD: N/A.</t>
      </text>
    </comment>
    <comment authorId="0" ref="BB87">
      <text>
        <t xml:space="preserve">LV - JACOBINA
01. QTD EQUIPES 01 LV / 01 LM/ 02. AR U464710 - MANOEL GUSTAVO/ 03. SUBST MRA370581 - PATRICIO DA SILVA BARBOSA 92 991473742/ 04. SUBST NTS884580 - CARLOS ANDRE SANTOS DA SILVA/ 05. SUBST .NTS333599 - JUCELINO DOS SANTOS  06. SUBST .MRA252517 - LUCIANO NUNES DA SILVA  07.  SUBST .MRA554506- FABIANO LOPES MORAES  08. SUBST .MRA219559 - CAIQUE SILVA LIMA 09. SUBST . MRA177595- DIOGO CRUZ DOS SANTOS</t>
      </text>
    </comment>
    <comment authorId="0" ref="S88">
      <text>
        <t xml:space="preserve">INTERCALAR POSTE AT COM N1-3 ENTRE OS PG: D072159 - D072158  E ENERGIZAR OBRA.
</t>
      </text>
    </comment>
    <comment authorId="0" ref="BA88">
      <text>
        <t xml:space="preserve">LV:
USAR EPI/EPC  34,5KV/ SOLICITAR BLOQUEIO DO RL XXXX  / CRUZAMENTO DE LT/RD: N/A.               
LM:  
USAR EPI/EPC  34,5KV / ATERRAMENTO: NA / BLOQUEIO RL N/A / CRUZAMENTO DE LT/RD: N/A.</t>
      </text>
    </comment>
    <comment authorId="0" ref="BB88">
      <text>
        <t xml:space="preserve">LV - JACOBINA
01. QTD EQUIPES 01 LV / 01 LM/ 02. AR ERIC TEIXEIRA  U361045/ 03. SUBST MRA370581 - PATRICIO DA SILVA BARBOSA 92 991473742/ 04. SUBST NTS884580 - CARLOS ANDRE SANTOS DA SILVA/ 05. SUBST .NTS333599 - JUCELINO DOS SANTOS  06. SUBST .MRA666519-DOUGLAS DA SILVA MELO 07.  SUBST .MRA571535-GERALDO DA COSTA GOMES 08. SUBST .MRA811574- JAILTON DA SILVA 09. SUBST .MRA152590 - EMERSON DE CARVALHO </t>
      </text>
    </comment>
    <comment authorId="0" ref="V89">
      <text>
        <t xml:space="preserve">ENCABEÇAR RD BT NO PG: L382294 E ENERGIZAR OBRA.
</t>
      </text>
    </comment>
    <comment authorId="0" ref="BA89">
      <text>
        <t xml:space="preserve">LM:
USAR EPI/EPC 13,8KV / ATERRAMENTO: NA / BLOQUEIO RL N/A / CRUZAMENTO DE LT/RD: N/A.</t>
      </text>
    </comment>
    <comment authorId="0" ref="BI89">
      <text>
        <t xml:space="preserve">ETEMILSON: 
LM JACOBINA:
01. QTD EQUIPE 01LM/ 02. AR U464710 - MANOEL GUSTAVO/ 03. SUB.MRA148601- CLEBSON REIS NETO/ 04. SUB. MRA666519-DOUGLAS DA SILVA MELO/ 05. SUB .MRA571535-GERALDO DA COSTA GOMES 06.SUB.MRA811574- JAILTON DA SILVA  07. SUB..MRA096553-RODRIGO STS. SILVA 08. SUB.MRA738523 - JULIO SERAFIM DAMACENO 09. MRA152590 - EMERSON DE CARVALHO  10.  .MRA258541- CARLOS CRUZ SANTANA 11.NTS219592 - JAIR DE JESUS </t>
      </text>
    </comment>
    <comment authorId="0" ref="V90">
      <text>
        <t xml:space="preserve">ENCABEÇAR RD BT NO PG: D172669 E ENERGIZAR OBRA.
</t>
      </text>
    </comment>
    <comment authorId="0" ref="BA90">
      <text>
        <t xml:space="preserve">LM:
USAR EPI/EPC 13,8KV / ATERRAMENTO: NA / BLOQUEIO RL N/A / CRUZAMENTO DE LT/RD: N/A.</t>
      </text>
    </comment>
    <comment authorId="0" ref="BI90">
      <text>
        <t xml:space="preserve"> ETEMILSON: 
LM JACOBINA:
01. QTD EQUIPE 01LM/ 02. AR U465100 - RICARDO BRITO/ 03. SUB.MRA148601- CLEBSON REIS NETO/ 04. SUB. MRA666519-DOUGLAS DA SILVA MELO/ 05. SUB .MRA571535-GERALDO DA COSTA GOMES 06.SUB.MRA811574- JAILTON DA SILVA  07. SUB..MRA096553-RODRIGO STS. SILVA 08. SUB.MRA738523 - JULIO SERAFIM DAMACENO 09. MRA152590 - EMERSON DE CARVALHO  10.  .MRA258541- CARLOS CRUZ SANTANA 11.NTS219592 - JAIR DE JESUS </t>
      </text>
    </comment>
    <comment authorId="0" ref="S91">
      <text>
        <t xml:space="preserve">INTERCALAR POSTE AT COM N1 E TRAFO ENTRE OS PG: D072814 - D072802, FECHAR CHAVE NOVA PRÓXIMO AO PG: D072802 E ENERGIZAR OBRA.
</t>
      </text>
    </comment>
    <comment authorId="0" ref="V91">
      <text>
        <t xml:space="preserve">FECHAR CHAVE NOVA PRÓXIMO AO PG: D072802 E ENERGIZAR OBRA.</t>
      </text>
    </comment>
    <comment authorId="0" ref="BA91">
      <text>
        <t xml:space="preserve">LV:
USAR EPI/EPC 13,8KV / SOLICITAR BLOQUEIO DO RL XXXX  / CRUZAMENTO DE LT/RD: N/A. 
LM:
USAR EPI/EPC 13,8KV / ATERRAMENTO: NA / BLOQUEIO RL N/A / CRUZAMENTO DE LT/RD: N/A.</t>
      </text>
    </comment>
    <comment authorId="0" ref="BB91">
      <text>
        <t xml:space="preserve">LV - JACOBINA
01. QTD EQUIPES 01 LV / 01 LM/ 02. AR U465100 - RICARDO BRITO/ 03. SUBST MRA370581 - PATRICIO DA SILVA BARBOSA 92 991473742/ 04. SUBST NTS884580 - CARLOS ANDRE SANTOS DA SILVA/ 05. SUBST .NTS333599 - JUCELINO DOS SANTOS  06. SUBST .MRA666519-DOUGLAS DA SILVA MELO 07.  SUBST .MRA571535-GERALDO DA COSTA GOMES 08. SUBST .MRA811574- JAILTON DA SILVA 09. SUBST .MRA152590 - EMERSON DE CARVALHO </t>
      </text>
    </comment>
    <comment authorId="0" ref="BI91">
      <text>
        <t xml:space="preserve"> ETEMILSON: 
LM JACOBINA:
01. QTD EQUIPE 01LM/ 02. AR U465100 - RICARDO BRITO/ 03. SUB.MRA148601- CLEBSON REIS NETO/ 04. SUB. MRA666519-DOUGLAS DA SILVA MELO/ 05. SUB .MRA571535-GERALDO DA COSTA GOMES 06.SUB.MRA811574- JAILTON DA SILVA  07. SUB..MRA096553-RODRIGO STS. SILVA 08. SUB.MRA738523 - JULIO SERAFIM DAMACENO 09. MRA152590 - EMERSON DE CARVALHO  10.  .MRA258541- CARLOS CRUZ SANTANA 11.NTS219592 - JAIR DE JESUS </t>
      </text>
    </comment>
    <comment authorId="0" ref="S92">
      <text>
        <t xml:space="preserve">INTERCALAR POSTE AT COM N1 E TRAFO ENTRE OS PG: R037814 - R037813  E ENERGIZAR OBRA.
</t>
      </text>
    </comment>
    <comment authorId="0" ref="BA92">
      <text>
        <t xml:space="preserve">LV:
USAR EPI/EPC 13,8KV / SOLICITAR BLOQUEIO DO RL XXXX  / CRUZAMENTO DE LT/RD: N/A. 
LM:
USAR EPI/EPC 13,8KV / ATERRAMENTO: NA / BLOQUEIO RL N/A / CRUZAMENTO DE LT/RD: N/A.</t>
      </text>
    </comment>
    <comment authorId="0" ref="BB92">
      <text>
        <t xml:space="preserve">LV - JACOBINA
01. QTD EQUIPES 01 LV / 01 LM/ 02. AR U460544 - NAILTON SANTANA/ 03. SUBST MRA370581 - PATRICIO DA SILVA BARBOSA 92 991473742/ 04. SUBST NTS884580 - CARLOS ANDRE SANTOS DA SILVA/ 05. SUBST .NTS333599 - JUCELINO DOS SANTOS  06. SUBST .MRA666519-DOUGLAS DA SILVA MELO 07.  SUBST .MRA571535-GERALDO DA COSTA GOMES 08. SUBST .MRA811574- JAILTON DA SILVA 09. SUBST .MRA152590 - EMERSON DE CARVALHO </t>
      </text>
    </comment>
    <comment authorId="0" ref="S93">
      <text>
        <t xml:space="preserve">INTERCALAR POSTE AT COM N1 E TRAFO ENTRE OS PG: B567572 - B567571, FECHAR CHAVE NOVA PRÓXIMO AO PG: B567572  E ENERGIZAR OBRA.
</t>
      </text>
    </comment>
    <comment authorId="0" ref="BA93">
      <text>
        <t xml:space="preserve">LV:
USAR EPI/EPC 13,8KV / SOLICITAR BLOQUEIO DO RL XXXX  / CRUZAMENTO DE LT/RD: N/A. 
LM:
USAR EPI/EPC 13,8KV / ATERRAMENTO: NA / BLOQUEIO RL N/A / CRUZAMENTO DE LT/RD: N/A.</t>
      </text>
    </comment>
    <comment authorId="0" ref="BB93">
      <text>
        <t xml:space="preserve">LV - JACOBINA
01. QTD EQUIPES 01 LV / 01 LM/ 02. AR ERIC TEIXEIRA  U361045/ 03. SUBST MRA370581 - PATRICIO DA SILVA BARBOSA 92 991473742/ 04. SUBST NTS884580 - CARLOS ANDRE SANTOS DA SILVA/ 05. SUBST .NTS333599 - JUCELINO DOS SANTOS  06. SUBST .MRA666519-DOUGLAS DA SILVA MELO 07.  SUBST .MRA571535-GERALDO DA COSTA GOMES 08. SUBST .MRA811574- JAILTON DA SILVA 09. SUBST .MRA152590 - EMERSON DE CARVALHO </t>
      </text>
    </comment>
    <comment authorId="0" ref="V94">
      <text>
        <t xml:space="preserve">ENCABEÇAR RD BT NO PG: B369452 E ENERGIZAR OBRA.
</t>
      </text>
    </comment>
    <comment authorId="0" ref="BA94">
      <text>
        <t xml:space="preserve">LM:
USAR EPI/EPC 13,8KV / ATERRAMENTO: NA / BLOQUEIO RL N/A / CRUZAMENTO DE LT/RD: N/A.</t>
      </text>
    </comment>
    <comment authorId="0" ref="BI94">
      <text>
        <t xml:space="preserve">GILVANDO:
LM JACOBINA:
01. QTD EQUIPES 01LM/ 02. AR U464710 - MANOEL GUSTAVO/ 03. RESP SUBST MRA252517 - LUCIANO NUNES DA SILVA / 04. R  MRA177595- DIOGO CRUZ DOS SANTOS ESP SUBST MRA554506- FABIANO LOPES MORAES / 05. RESP SUBST . 06. RESP SUBST .  07. RESP SUBST .MRA219559 - CAIQUE SILVA LIMA 08. RESP SUBST .NTS025538 - GILVANDO RIOS DA CRUZ 92 99521-6405 </t>
      </text>
    </comment>
    <comment authorId="0" ref="V95">
      <text>
        <t xml:space="preserve">ABRIR CHAVE DO TRAFO: XXX PARA RECONDUTORAMENTO BT DO PG: R040770 AO R040773 E ENERGIZAR OBRA.</t>
      </text>
    </comment>
    <comment authorId="0" ref="X95">
      <text>
        <t xml:space="preserve">ABRIR CHAVE DO TRAFO: XXX PARA RECONDUTORAMENTO BT DO PG: R040770 AO R040773 E ENERGIZAR OBRA.</t>
      </text>
    </comment>
    <comment authorId="0" ref="S96">
      <text>
        <t xml:space="preserve">INTERCALAR POSTE AT COM N1 ENTRE OS PG: R032722 - R032723, ENCABEÇAR RD BT NO PG: R032722 E ENERGIZAR OBRA.
</t>
      </text>
    </comment>
    <comment authorId="0" ref="BA96">
      <text>
        <t xml:space="preserve">LV:
USAR EPI/EPC 13,8KV / SOLICITAR BLOQUEIO DO RL XXXX  / CRUZAMENTO DE LT/RD: N/A. 
LM:
USAR EPI/EPC 13,8KV / ATERRAMENTO: NA / BLOQUEIO RL N/A / CRUZAMENTO DE LT/RD: N/A.</t>
      </text>
    </comment>
    <comment authorId="0" ref="BB96">
      <text>
        <t xml:space="preserve">LV - JACOBINA
01. QTD EQUIPES 01 LV / 01 LM/ 02. AR U465100 - RICARDO BRITO/ 03. SUBST MRA370581 - PATRICIO DA SILVA BARBOSA 92 991473742/ 04. SUBST NTS884580 - CARLOS ANDRE SANTOS DA SILVA/ 05. SUBST .NTS333599 - JUCELINO DOS SANTOS  06. SUBST .MRA666519-DOUGLAS DA SILVA MELO 07.  SUBST .MRA571535-GERALDO DA COSTA GOMES 08. SUBST .MRA811574- JAILTON DA SILVA 09. SUBST .MRA152590 - EMERSON DE CARVALHO </t>
      </text>
    </comment>
    <comment authorId="0" ref="X97">
      <text>
        <t xml:space="preserve">ABRIR CHAVE DO TRAFO: XXX PARA INTERCALAR POSTE BT ENTRE OS PG: R033047 -R033048 E ENERGIZAR OBRA.</t>
      </text>
    </comment>
    <comment authorId="0" ref="S98">
      <text>
        <t xml:space="preserve">MONTAR BANCADA C/ N3  NO PG: B170875  E ENERGIZAR OBRA.</t>
      </text>
    </comment>
    <comment authorId="0" ref="V98">
      <text>
        <t xml:space="preserve">FECHAR CHAVE NOVA PRÓXIMO AO PG: B170875   E ENERGIZAR OBRA.</t>
      </text>
    </comment>
    <comment authorId="0" ref="BA98">
      <text>
        <t xml:space="preserve">LV:
USAR EPI/EPC  34,5KV/ SOLICITAR BLOQUEIO DO RL XXXX  / CRUZAMENTO DE LT/RD: N/A.               
LM:  
USAR EPI/EPC  34,5KV / ATERRAMENTO: NA / BLOQUEIO RL N/A / CRUZAMENTO DE LT/RD: N/A.</t>
      </text>
    </comment>
    <comment authorId="0" ref="S99">
      <text>
        <t xml:space="preserve">INTERCALAR POSTE AT COM N1-3 ENTRE OS PG: D531135 - D531136, FECHAR CHAVE NOVA PRÓXIMO AO PG: D531135  E ENERGIZAR OBRA.
</t>
      </text>
    </comment>
    <comment authorId="0" ref="V99">
      <text>
        <t xml:space="preserve">FECHAR CHAVE NOVA PRÓXIMO AO PG: D531135  E ENERGIZAR OBRA.</t>
      </text>
    </comment>
    <comment authorId="0" ref="BA99">
      <text>
        <t xml:space="preserve">LV:
USAR EPI/EPC  34,5KV/ SOLICITAR BLOQUEIO DO RL XXXX  / CRUZAMENTO DE LT/RD: N/A.               
LM:  
USAR EPI/EPC  34,5KV / ATERRAMENTO: NA / BLOQUEIO RL N/A / CRUZAMENTO DE LT/RD: N/A.</t>
      </text>
    </comment>
    <comment authorId="0" ref="BB99">
      <text>
        <t xml:space="preserve">LV - JACOBINA
01. QTD EQUIPES 01 LV / 01 LM/ 02. AR ERIC TEIXEIRA  U361045/ 03. SUBST MRA370581 - PATRICIO DA SILVA BARBOSA 92 991473742/ 04. SUBST NTS884580 - CARLOS ANDRE SANTOS DA SILVA/ 05. SUBST .NTS333599 - JUCELINO DOS SANTOS  06. SUBST .MRA148601- CLEBSON REIS NETO 07.  SUBST .MRA666519-DOUGLAS DA SILVA MELO 08. SUBST .MRA096553-RODRIGO STS. SILVA 09. SUBST .MRA152590 - EMERSON DE CARVALHO </t>
      </text>
    </comment>
    <comment authorId="0" ref="BI99">
      <text>
        <t xml:space="preserve"> ETEMILSON: 
LM JACOBINA:
01. QTD EQUIPE 01LM/ 02. AR ERIC TEIXEIRA  U361045/ 03. SUB.MRA148601- CLEBSON REIS NETO/ 04. SUB. MRA666519-DOUGLAS DA SILVA MELO/ 05. SUB .MRA571535-GERALDO DA COSTA GOMES 06.SUB.MRA811574- JAILTON DA SILVA  07. SUB..MRA096553-RODRIGO STS. SILVA 08. SUB.MRA738523 - JULIO SERAFIM DAMACENO 09. MRA152590 - EMERSON DE CARVALHO  10.  .MRA258541- CARLOS CRUZ SANTANA 11.NTS219592 - JAIR DE JESUS 
</t>
      </text>
    </comment>
    <comment authorId="0" ref="X100">
      <text>
        <t xml:space="preserve">ABRIR CH: J17556 P/ INTERCALAR PT C/ N1-3 ENTRE: Q131667 - Q131666, DESATIVAR RD BT E MT DO PG: Q131667 AO Q131258 E ENERGIZAR OBRA NOVA.</t>
      </text>
    </comment>
    <comment authorId="0" ref="BA100">
      <text>
        <t xml:space="preserve">LV:
USAR EPI/EPC 13,8KV / SOLICITAR BLOQUEIO DO RL XXXX  / CRUZAMENTO DE LT/RD: N/A. 
LM:
USAR EPI/EPC 13,8KV / ATERRAMENTO: NA / BLOQUEIO RL N/A / CRUZAMENTO DE LT/RD: N/A.</t>
      </text>
    </comment>
    <comment authorId="0" ref="BI100">
      <text>
        <t xml:space="preserve"> ETEMILSON: 
LM JACOBINA:
01. QTD EQUIPE 01LM/ 02. AR ERIC TEIXEIRA  U361045/ 03. SUB.MRA148601- CLEBSON REIS NETO/ 04. SUB. MRA666519-DOUGLAS DA SILVA MELO/ 05. SUB .MRA571535-GERALDO DA COSTA GOMES 06.SUB.MRA811574- JAILTON DA SILVA  07. SUB..MRA096553-RODRIGO STS. SILVA 08. SUB.MRA738523 - JULIO SERAFIM DAMACENO 09. MRA152590 - EMERSON DE CARVALHO  10.  .MRA258541- CARLOS CRUZ SANTANA 11.NTS219592 - JAIR DE JESUS 
</t>
      </text>
    </comment>
    <comment authorId="0" ref="S101">
      <text>
        <t xml:space="preserve">MONTAR BANCADA COM N3 NO PG: B331332, FECHAR CHAVE NOVA PRÓXIMO AO PG: B331332 E ENERGIZAR OBRA.
</t>
      </text>
    </comment>
    <comment authorId="0" ref="V101">
      <text>
        <t xml:space="preserve">CHAVE NOVA PRÓXIMO AO PG: B331332 E ENERGIZAR OBRA.
</t>
      </text>
    </comment>
    <comment authorId="0" ref="BA101">
      <text>
        <t xml:space="preserve">LV:
USAR EPI/EPC 13,8KV / SOLICITAR BLOQUEIO DO RL XXXX  / CRUZAMENTO DE LT/RD: N/A. 
LM:
USAR EPI/EPC 13,8KV / ATERRAMENTO: NA / BLOQUEIO RL N/A / CRUZAMENTO DE LT/RD: N/A.</t>
      </text>
    </comment>
    <comment authorId="0" ref="BB101">
      <text>
        <t xml:space="preserve">LV - JACOBINA
01. QTD EQUIPES 01 LV / 01 LM/ 02. AR ERIC TEIXEIRA  U361045/ 03. SUBST MRA370581 - PATRICIO DA SILVA BARBOSA 92 991473742/ 04. SUBST NTS884580 - CARLOS ANDRE SANTOS DA SILVA/ 05. SUBST .NTS333599 - JUCELINO DOS SANTOS  06. SUBST .MRA148601- CLEBSON REIS NETO 07.  SUBST .MRA666519-DOUGLAS DA SILVA MELO 08. SUBST .MRA096553-RODRIGO STS. SILVA 09. SUBST .MRA152590 - EMERSON DE CARVALHO </t>
      </text>
    </comment>
    <comment authorId="0" ref="BI101">
      <text>
        <t xml:space="preserve"> ETEMILSON: 
LM JACOBINA:
01. QTD EQUIPE 01LM/ 02. AR ERIC TEIXEIRA  U361045/ 03. SUB.MRA148601- CLEBSON REIS NETO/ 04. SUB. MRA666519-DOUGLAS DA SILVA MELO/ 05. SUB .MRA571535-GERALDO DA COSTA GOMES 06.SUB.MRA811574- JAILTON DA SILVA  07. SUB..MRA096553-RODRIGO STS. SILVA 08. SUB.MRA738523 - JULIO SERAFIM DAMACENO 09. MRA152590 - EMERSON DE CARVALHO  10.  .MRA258541- CARLOS CRUZ SANTANA 11.NTS219592 - JAIR DE JESUS 
</t>
      </text>
    </comment>
    <comment authorId="1" xr:uid="{56dfac52-07ac-442d-9c44-b3c53050519e}" ref="Q6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PROJETO COM BLOQUEIO BQIM, IMPOSSIBILITANDO CRIAÇÃO DE RESERVAS.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S4">
      <text>
        <t xml:space="preserve">INTERCALAR POSTE AT COM XXX ENTRE OS PG: XXX FECHAR CHAVE NOVA PRÓXIMO AO PG: XXX E ENERGIZAR OBRA.
INTERCALAR POSTE AT COM XXX ENTRE OS PG: XXX ENCABEÇAR RD BT NO PG: XXX E ENERGIZAR OBRA.
ALTERAR ESTRUTURA DE XXX NO PG: XXX FECHAR CHAVE NOVA PRÓXIMO AO PG: XXX E ENERGIZAR OBRA.
MONTAR BANCADA COM XXX NO PG: XXX  FECHAR CHAVE NOVA PRÓXIMO AO PG: XXX E ENERGIZAR OBRA.
INTERCALAR POSTE AT COM XXX ENTRE OS PG: XXX ENCABEÇAR RD BT NO PG: XXX E ENERGIZAR OBRA.
</t>
      </text>
    </comment>
    <comment authorId="0" ref="U4">
      <text>
        <t xml:space="preserve">SUBSTITUIR POSTES BT POR AT DO PG: XXX E ENERGIZAR OBRA.
SUBSTITUIR POSTE BT POR AT NO PG: XXX E ENERGIZAR OBRA.</t>
      </text>
    </comment>
    <comment authorId="0" ref="V4">
      <text>
        <t xml:space="preserve">ENCABEÇAR RD BT NO PG: XXX E ENERGIZAR OBRA.
FECHAR CHAVE NOVA PRÓXIMO AO PG: XXX E ENERGIZAR OBRA.
FECHAR CHAVE DO TRAFO NOVO PRÓXIMO AO PG: XXX E ENERGIZAR OBRA.
INTRECALAR POSTE BT ENTRE OS PG: XXX E ENERGIZAR OBRA.</t>
      </text>
    </comment>
    <comment authorId="0" ref="BA4">
      <text>
        <t xml:space="preserve">LV:
USAR EPI/EPC 13,8KV / SOLICITAR BLOQUEIO DO RL XXXX  / CRUZAMENTO DE LT/RD: N/A. 
LM:
USAR EPI/EPC 13,8KV / ATERRAMENTO: NA / BLOQUEIO RL N/A / CRUZAMENTO DE LT/RD: N/A.
LV:
USAR EPI/EPC  34,5KV/ SOLICITAR BLOQUEIO DO RL XXXX  / CRUZAMENTO DE LT/RD: N/A.               
LM:  
USAR EPI/EPC  34,5KV / ATERRAMENTO: NA / BLOQUEIO RL N/A / CRUZAMENTO DE LT/RD: N/A.</t>
      </text>
    </comment>
    <comment authorId="0" ref="BD4">
      <text>
        <t xml:space="preserve">&lt;250 UCS, CHI &lt;500 APROVAÇÃO AUTOMÁTICA. OBS: REDE DE 34.5KV SOMENTE ABERTURA DE TRAFO.
&gt;250 UCS APROVAÇÃO MANUAL </t>
      </text>
    </comment>
    <comment authorId="0" ref="BF4">
      <text>
        <t xml:space="preserve">QUANTIDADE MÁXIMA 6H</t>
      </text>
    </comment>
    <comment authorId="0" ref="BG4">
      <text>
        <t xml:space="preserve">CHI &gt; 1200 REQUER APROVAÇÃO 
CHI &lt; 500 EM REDES DE 13.8KV APROVAÇÃO AUTOMÁTICA 
CHI &gt; 500 APROVAÇÃO MANUAL
ABERTURA DE CHAVES EM REDES DE 34.5KV APROVAÇÃO MANUAL, EXCETO CHAVES DE TRAFO COM CHI &lt;500. </t>
      </text>
    </comment>
    <comment authorId="0" ref="BK4">
      <text>
        <t xml:space="preserve">INFORMAÇÕES SI DE PG 
NTS364509
EUGÊNIO 
74981146911
GERAR NÚMEROS DE BARRAMENTOS PARA OS POSTES DA OBRA EM QUESTÃO.
961668
RAFAEL SANTOS DA CRUZ
107662
NATALICIO
OBRA 
B-1090041
PGS DESTINADOS A OBRA XXX POIS A MESMA NÃO ESTÁ CADASTRADA NO SGSI.</t>
      </text>
    </comment>
    <comment authorId="0" ref="V5">
      <text>
        <t xml:space="preserve">ENCABEÇAR RD BT NO PG: L382657 E ENERGIZAR OBRA.
</t>
      </text>
    </comment>
    <comment authorId="0" ref="BA5">
      <text>
        <t xml:space="preserve">LM:
USAR EPI/EPC 13,8KV / ATERRAMENTO: NA / BLOQUEIO RL N/A / CRUZAMENTO DE LT/RD: N/A.</t>
      </text>
    </comment>
    <comment authorId="0" ref="BI5">
      <text>
        <t xml:space="preserve">01. QTD EQUIPES 01LM/ 02. AR U464710 - MANOEL GUSTAVO/ 03. RESP SUBST MRA252517 - LUCIANO NUNES DA SILVA / 04. R  MRA177595- DIOGO CRUZ DOS SANTOS ESP SUBST MRA554506- FABIANO LOPES MORAES / 05. RESP SUBST . 06. RESP SUBST .  07. RESP SUBST .MRA219559 - CAIQUE SILVA LIMA 08. RESP SUBST .NTS025538 - GILVANDO RIOS DA CRUZ 92 99521-6405 </t>
      </text>
    </comment>
    <comment authorId="0" ref="V6">
      <text>
        <t xml:space="preserve">ENCABEÇAR RD BT NO PG: L382664 E ENERGIZAR OBRA.
</t>
      </text>
    </comment>
    <comment authorId="0" ref="BA6">
      <text>
        <t xml:space="preserve">LM:
USAR EPI/EPC 13,8KV / ATERRAMENTO: NA / BLOQUEIO RL N/A / CRUZAMENTO DE LT/RD: N/A.</t>
      </text>
    </comment>
    <comment authorId="0" ref="BI6">
      <text>
        <t xml:space="preserve">01. QTD EQUIPES 01LM/ 02. AR U464710 - MANOEL GUSTAVO/ 03. RESP SUBST MRA252517 - LUCIANO NUNES DA SILVA / 04. R  MRA177595- DIOGO CRUZ DOS SANTOS ESP SUBST MRA554506- FABIANO LOPES MORAES / 05. RESP SUBST . 06. RESP SUBST .  07. RESP SUBST .MRA219559 - CAIQUE SILVA LIMA 08. RESP SUBST .NTS025538 - GILVANDO RIOS DA CRUZ 92 99521-6405 </t>
      </text>
    </comment>
    <comment authorId="0" ref="V7">
      <text>
        <t xml:space="preserve">ENCABEÇAR RD BT NO PG:  L435451 E ENERGIZAR OBRA.
</t>
      </text>
    </comment>
    <comment authorId="0" ref="BA7">
      <text>
        <t xml:space="preserve">LM:
USAR EPI/EPC 13,8KV / ATERRAMENTO: NA / BLOQUEIO RL N/A / CRUZAMENTO DE LT/RD: N/A.</t>
      </text>
    </comment>
    <comment authorId="0" ref="BI7">
      <text>
        <t xml:space="preserve">01. QTD EQUIPES 01LM/ 02. AR U464710 - MANOEL GUSTAVO/ 03. RESP SUBST MRA252517 - LUCIANO NUNES DA SILVA / 04. R  MRA177595- DIOGO CRUZ DOS SANTOS ESP SUBST MRA554506- FABIANO LOPES MORAES / 05. RESP SUBST . 06. RESP SUBST .  07. RESP SUBST .MRA219559 - CAIQUE SILVA LIMA 08. RESP SUBST .NTS025538 - GILVANDO RIOS DA CRUZ 92 99521-6405 </t>
      </text>
    </comment>
    <comment authorId="0" ref="S8">
      <text>
        <t xml:space="preserve">INTERCALAR POSTE AT COM N1 ENTRE OS PG: D241054 - D241055,  ENCABEÇAR RD BT NO PG: D241077 E ENERGIZAR OBRA.
</t>
      </text>
    </comment>
    <comment authorId="0" ref="V8">
      <text>
        <t xml:space="preserve">ENCABEÇAR RD BT NO PG:  D241077 E ENERGIZAR OBRA.
</t>
      </text>
    </comment>
    <comment authorId="0" ref="BA8">
      <text>
        <t xml:space="preserve">LV:
USAR EPI/EPC 13,8KV / SOLICITAR BLOQUEIO DO RL XXXX  / CRUZAMENTO DE LT/RD: N/A. 
LM:
USAR EPI/EPC 13,8KV / ATERRAMENTO: NA / BLOQUEIO RL N/A / CRUZAMENTO DE LT/RD: N/A.
</t>
      </text>
    </comment>
    <comment authorId="0" ref="BI8">
      <text>
        <t xml:space="preserve">LV - JACOBINA
01. QTD EQUIPES 01 LV / 01 LM/ 02. AR U460544 - NAILTON SANTANA/ 03. SUBST MRA370581 - PATRICIO DA SILVA BARBOSA 92 991473742/ 04. SUBST NTS884580 - CARLOS ANDRE SANTOS DA SILVA/ 05. SUBST .NTS333599 - JUCELINO DOS SANTOS  06. SUBST .MRA252517 - LUCIANO NUNES DA SILVA  07.  SUBST .MRA554506- FABIANO LOPES MORAES  08. SUBST .MRA219559 - CAIQUE SILVA LIMA 09. SUBST . MRA177595- DIOGO CRUZ DOS SANTOS
01. QTD EQUIPES 01LM/ 02. AR U464710 - MANOEL GUSTAVO/ 03. RESP SUBST MRA252517 - LUCIANO NUNES DA SILVA / 04. R  MRA177595- DIOGO CRUZ DOS SANTOS ESP SUBST MRA554506- FABIANO LOPES MORAES / 05. RESP SUBST . 06. RESP SUBST .  07. RESP SUBST .MRA219559 - CAIQUE SILVA LIMA 08. RESP SUBST .NTS025538 - GILVANDO RIOS DA CRUZ 92 99521-6405 </t>
      </text>
    </comment>
    <comment authorId="0" ref="BK8">
      <text>
        <t xml:space="preserve">INTERCALAR POSTE AT COM N1 ENTRE OS PG: D241054 - D241055,  ENCABEÇAR RD BT NO PG: D241077 E ENERGIZAR OBRA.
</t>
      </text>
    </comment>
    <comment authorId="0" ref="S10">
      <text>
        <t xml:space="preserve">MONTAR BANCADA P/ TRAFO NO POSTE NOVO PRÓXIMO AO PG: L434475,   FECHAR CHAVE NOVA PRÓXIMO AO PG: L434475 E ENERGIZAR OBRA.</t>
      </text>
    </comment>
    <comment authorId="0" ref="V10">
      <text>
        <t xml:space="preserve"> FECHAR CHAVE NOVA PRÓXIMO AO PG: L434475 E ENERGIZAR OBRA.</t>
      </text>
    </comment>
    <comment authorId="0" ref="BA10">
      <text>
        <t xml:space="preserve">LV:
USAR EPI/EPC 13,8KV / SOLICITAR BLOQUEIO DO RL XXXX  / CRUZAMENTO DE LT/RD: N/A. 
LM:
USAR EPI/EPC 13,8KV / ATERRAMENTO: NA / BLOQUEIO RL N/A / CRUZAMENTO DE LT/RD: N/A.
</t>
      </text>
    </comment>
    <comment authorId="0" ref="BI10">
      <text>
        <t xml:space="preserve">LV - JACOBINA
01. QTD EQUIPES 01 LV / 01 LM/ 02. AR U460544 - NAILTON SANTANA/ 03. SUBST NTS27946 - PATRICIO DA SILVA BARBOSA 92 991473742/ 04. SUBST NTS884580 - CARLOS ANDRE SANTOS DA SILVA/ 05. SUBST .NTS333599 - JUCELINO DOS SANTOS  06. SUBST .NTS252517 - LUCIANO NUNES DA SILVA  07.  SUBST .NTS554506 - FABIANO LOPES MORAES  08. SUBST .NTS177595 - DIOGO CRUZ DOS SANTOS 09. SUBST .NTS219559 - CAIQUE SILVA LIMA
GILVANDO:
LM JACOBINA:
01. QTD EQUIPES 01LM/ 02. RESP COELBA U464710 - MANOEL GUSTAVO/ 03. RESP SUBST NTS252517 - LUCIANO NUNES DA SILVA / 04. R NTS177595 - DIOGO CRUZ DOS SANTOS ESP SUBST NTS554506 - FABIANO LOPES MORAES / 05. RESP SUBST . 06. RESP SUBST .  07. RESP SUBST .NTS219559 - CAIQUE SILVA LIMA 08. RESP SUBST .NTS025538 - GILVANDO RIOS DA CRUZ 92 99521-6405 </t>
      </text>
    </comment>
    <comment authorId="0" ref="S11">
      <text>
        <t xml:space="preserve">INTERCALAR 02 POSTES AT COM N1 E BANCO DE RELIGADOR ENTRE OS PG: A262506 - A262505, INSTALAR REGULADOR  E ENERGIZAR OBRA.
</t>
      </text>
    </comment>
    <comment authorId="0" ref="BA11">
      <text>
        <t xml:space="preserve">USAR EPI/EPC 13,8KV / SOLICITAR BLOQUEIO DO RL XXXX  / CRUZAMENTO DE LT/RD: N/A. 
</t>
      </text>
    </comment>
    <comment authorId="0" ref="BI11">
      <text>
        <t xml:space="preserve">01. QTD EQUIPES 01 LV / 01 LM/ 02. AR U464710 - MANOEL GUSTAVO/ 03. SUBST MRA370581 - PATRICIO DA SILVA BARBOSA 92 991473742/ 04. SUBST NTS884580 - CARLOS ANDRE SANTOS DA SILVA/ 05. SUBST .NTS333599 - JUCELINO DOS SANTOS  06. SUBST .MRA554506- FABIANO LOPES MORAES  07.  SUBST .MRA219559 - CAIQUE SILVA LIMA 08. SUBST . MRA177595- DIOGO CRUZ DOS SANTOS 09. SUBST .MRA252517 - LUCIANO NUNES DA SILVA 
</t>
      </text>
    </comment>
    <comment authorId="0" ref="BJ11">
      <text>
        <t xml:space="preserve">INTERCALAR 02 POSTES AT COM N1 E BANCO DE RELIGADOR ENTRE OS PG: A262506 - A262505, INSTALAR REGULADOR  E ENERGIZAR OBRA.
</t>
      </text>
    </comment>
    <comment authorId="0" ref="S12">
      <text>
        <t xml:space="preserve">ALTERAR ESTRUTURA DE N3-3 P/ N4-3 NO PG: B652820, FECHAR CHAVE NOVA PRÓXIMO AO PG: B652820 E ENERGIZAR OBRA.
</t>
      </text>
    </comment>
    <comment authorId="0" ref="BA12">
      <text>
        <t xml:space="preserve">LV:
USAR EPI/EPC 13,8KV / SOLICITAR BLOQUEIO DO RL XXXX  / CRUZAMENTO DE LT/RD: N/A. 
LM:
USAR EPI/EPC 13,8KV / ATERRAMENTO: NA / BLOQUEIO RL N/A / CRUZAMENTO DE LT/RD: N/A.
</t>
      </text>
    </comment>
    <comment authorId="0" ref="BI12">
      <text>
        <t xml:space="preserve">LV - JACOBINA
01. QTD EQUIPES 01 LV / 01 LM/ 02. AR U107662 - NATALICIO MENDES/ 03. SUBST NTS27946 - PATRICIO DA SILVA BARBOSA 92 991473742/ 04. SUBST NTS884580 - CARLOS ANDRE SANTOS DA SILVA/ 05. SUBST .NTS333599 - JUCELINO DOS SANTOS  06. SUBST .NTS571535-GERALDO DA COSTA GOMES 07.  SUBST .NTS152590 - EMERSON DE CARVALHO  08. SUBST .NTS811574- JAILTON DA SILVA 09. SUBST .NTS258541 - CARLOS CRUZ SANTANA
 ETEMILSON: OBS: MAIOR QUE 5 ENCARREGADO, DEFINIR 
LM JACOBINA:
01. QTD EQUIPE 01LM/ 02. AR U107662 - NATALICIO MENDES/ 03. SUBST NTS148601- CLEBSON REIS NETO/ 04. SUBST NTS666519-DOUGLAS DA SILVA MELO/ 05. SUBST .NTS571535-GERALDO DA COSTA GOMES 06.SUBST.NTS811574- JAILTON DA SILVA  07. SUBST .NTS096553-RODRIGO STS. SILVA 08. SUBST .NTS738523 - JULIO SERAFIM DAMACENO 09. SUBST NTS152590 - EMERSON DE CARVALHO  10. SUBST .NTS258541 - CARLOS CRUZ SANTANA </t>
      </text>
    </comment>
    <comment authorId="0" ref="S13">
      <text>
        <t xml:space="preserve">SUBSTITUIR POSTE AT 11/600 POR 11/1000 C/ N3 CE3 NO PG: D089029 ,  FECHAR CHAVE NOVA PRÓXIMO AO PG: D089029 E ENERGIZAR OBRA.</t>
      </text>
    </comment>
    <comment authorId="0" ref="U13">
      <text>
        <t xml:space="preserve">SUBSTITUIR POSTES BT POR AT DO PG: D089120 AO B366008 E ENERGIZAR OBRA.</t>
      </text>
    </comment>
    <comment authorId="0" ref="BA13">
      <text>
        <t xml:space="preserve">LV:
USAR EPI/EPC 13,8KV / SOLICITAR BLOQUEIO DO RL XXXX  / CRUZAMENTO DE LT/RD: N/A. 
LM:
USAR EPI/EPC 13,8KV / ATERRAMENTO: NA / BLOQUEIO RL N/A / CRUZAMENTO DE LT/RD: N/A.
</t>
      </text>
    </comment>
    <comment authorId="0" ref="BI13">
      <text>
        <t xml:space="preserve">LV - JACOBINA
01. QTD EQUIPES 01 LV / 01 LM/ 02. AR U107662 - NATALICIO MENDES/ 03. SUBST NTS27946 - PATRICIO DA SILVA BARBOSA 92 991473742/ 04. SUBST NTS884580 - CARLOS ANDRE SANTOS DA SILVA/ 05. SUBST .NTS333599 - JUCELINO DOS SANTOS  06. SUBST .NTS571535-GERALDO DA COSTA GOMES 07.  SUBST .NTS152590 - EMERSON DE CARVALHO  08. SUBST .NTS811574- JAILTON DA SILVA 09. SUBST .NTS258541 - CARLOS CRUZ SANTANA
 ETEMILSON: OBS: MAIOR QUE 5 ENCARREGADO, DEFINIR 
LM JACOBINA:
01. QTD EQUIPE 01LM/ 02. AR U107662 - NATALICIO MENDES/ 03. SUBST NTS148601- CLEBSON REIS NETO/ 04. SUBST NTS666519-DOUGLAS DA SILVA MELO/ 05. SUBST .NTS571535-GERALDO DA COSTA GOMES 06.SUBST.NTS811574- JAILTON DA SILVA  07. SUBST .NTS096553-RODRIGO STS. SILVA 08. SUBST .NTS738523 - JULIO SERAFIM DAMACENO 09. SUBST NTS152590 - EMERSON DE CARVALHO  10. SUBST .NTS258541 - CARLOS CRUZ SANTANA </t>
      </text>
    </comment>
    <comment authorId="0" ref="S14">
      <text>
        <t xml:space="preserve">INTERCALAR POSTE AT COM C/ N4 E CHAVE ENTRE OS PG: E427116 - R010445 E ENERGIZAR OBRA.
EM CONJUNTO COM DESLIGAMENTO: 2025-149757 P/ ALTERAR ESTRUTURA DE N4 P/ N3-3, DESATIVAR CHAVE PROVISÓRIA: E80323 E ENERGIZAR OBRA.</t>
      </text>
    </comment>
    <comment authorId="0" ref="X14">
      <text>
        <t xml:space="preserve">NECESSÁRIO MANOBRA P/ DESATIVAR RD MT DO PG: R010447 AO R010445</t>
      </text>
    </comment>
    <comment authorId="0" ref="BA14">
      <text>
        <t xml:space="preserve">LV:
USAR EPI/EPC 13,8KV / SOLICITAR BLOQUEIO DO RL XXXX  / CRUZAMENTO DE LT/RD: N/A. 
LM:
USAR EPI/EPC 13,8KV / ATERRAMENTO: NA / BLOQUEIO RL N/A / CRUZAMENTO DE LT/RD: N/A.
</t>
      </text>
    </comment>
    <comment authorId="0" ref="BI14">
      <text>
        <t xml:space="preserve">LV - JACOBINA
01. QTD EQUIPES 01 LV / 01 LM/ 02. AR U107662 - NATALICIO MENDES/ 03. SUBST NTS27946 - PATRICIO DA SILVA BARBOSA 92 991473742/ 04. SUBST NTS884580 - CARLOS ANDRE SANTOS DA SILVA/ 05. SUBST .NTS333599 - JUCELINO DOS SANTOS  06. SUBST .NTS571535-GERALDO DA COSTA GOMES 07.  SUBST .NTS152590 - EMERSON DE CARVALHO  08. SUBST .NTS811574- JAILTON DA SILVA 09. SUBST .NTS258541 - CARLOS CRUZ SANTANA
 ETEMILSON: OBS: MAIOR QUE 5 ENCARREGADO, DEFINIR 
LM JACOBINA:
01. QTD EQUIPE 01LM/ 02. AR U107662 - NATALICIO MENDES/ 03. SUBST NTS148601- CLEBSON REIS NETO/ 04. SUBST NTS666519-DOUGLAS DA SILVA MELO/ 05. SUBST .NTS571535-GERALDO DA COSTA GOMES 06.SUBST.NTS811574- JAILTON DA SILVA  07. SUBST .NTS096553-RODRIGO STS. SILVA 08. SUBST .NTS738523 - JULIO SERAFIM DAMACENO 09. SUBST NTS152590 - EMERSON DE CARVALHO  10. SUBST .NTS258541 - CARLOS CRUZ SANTANA </t>
      </text>
    </comment>
    <comment authorId="0" ref="S15">
      <text>
        <t xml:space="preserve">INTERCALAR POSTE AT COM N4-3 ENTRE OS PG: R037024 - R037025, FECHAR CHAVE NOVA PRÓXIMO AO PG: R037024 E ENERGIZAR OBRA.
</t>
      </text>
    </comment>
    <comment authorId="0" ref="V15">
      <text>
        <t xml:space="preserve">FECHAR CHAVE NOVA PRÓXIMO AO PG: R037024 E ENERGIZAR OBRA.</t>
      </text>
    </comment>
    <comment authorId="0" ref="X15">
      <text>
        <t xml:space="preserve">ABRIR CH. TRAFO: XXX P/ SUBSTITUIR POSTES BT POR AT NO PG: R037015, R037018,  DESATIVAR REDE BT DO PG: R037018  AO R037015 E ENERGIZAR OBRA.</t>
      </text>
    </comment>
    <comment authorId="0" ref="BA15">
      <text>
        <t xml:space="preserve">LV:
USAR EPI/EPC 13,8KV / SOLICITAR BLOQUEIO DO RL XXXX  / CRUZAMENTO DE LT/RD: N/A. 
LM:
USAR EPI/EPC 13,8KV / ATERRAMENTO: NA / BLOQUEIO RL N/A / CRUZAMENTO DE LT/RD: N/A.</t>
      </text>
    </comment>
    <comment authorId="0" ref="BI15">
      <text>
        <t xml:space="preserve">LV - JACOBINA
01. QTD EQUIPES 01 LV / 01 LM/ 02. AR U471407 - ANDERSON ROBERTO/ 03. SUBST MRA370581 - PATRICIO DA SILVA BARBOSA 92 991473742/ 04. SUBST NTS884580 - CARLOS ANDRE SANTOS DA SILVA/ 05. SUBST .NTS333599 - JUCELINO DOS SANTOS  06. SUBST .MRA811574- JAILTON DA SILVA 07.  SUBST .MRA738523 - JULIO SERAFIM DAMACENO 08. SUBST .MRA152590 - EMERSON DE CARVALHO  09. SUBST .MRA148601- CLEBSON REIS NETO
 ETEMILSON: OBS: MAIOR QUE 5 ENCARREGADO, DEFINIR 
LM JACOBINA:
01. QTD EQUIPE 01LM/ 02. AR U460544 - NAILTON SANTANA/ 03. SUBS MRA148601- CLEBSON REIS NETO/ 04. SUBS MRA666519-DOUGLAS DA SILVA MELO/ 05. SUBST .MRA571535-GERALDO DA COSTA GOMES 06.SUBS MRA811574- JAILTON DA SILVA  07. MRA096553-RODRIGO STS. SILVA 08. SUBS.MRA738523 - JULIO SERAFIM DAMACENO 09. MRA152590 - EMERSON DE CARVALHO  10.  .MRA258541- CARLOS CRUZ SANTANA 11.NTS219592 - JAIR DE JESUS </t>
      </text>
    </comment>
    <comment authorId="0" ref="S16">
      <text>
        <t xml:space="preserve">INTERCALAR POSTE AT COM N4-3 PRÓXIMO AO PG: E815830,  FECHAR CHAVE NOVA PRÓXIMO AO PG: E815830 E ENERGIZAR OBRA.
</t>
      </text>
    </comment>
    <comment authorId="0" ref="V16">
      <text>
        <t xml:space="preserve">FECHAR CHAVE NOVA PRÓXIMO AO PG: E815830 E ENERGIZAR OBRA.</t>
      </text>
    </comment>
    <comment authorId="0" ref="BA16">
      <text>
        <t xml:space="preserve">LV:
USAR EPI/EPC 13,8KV / SOLICITAR BLOQUEIO DO RL XXXX  / CRUZAMENTO DE LT/RD: N/A. 
LM:
USAR EPI/EPC 13,8KV / ATERRAMENTO: NA / BLOQUEIO RL N/A / CRUZAMENTO DE LT/RD: N/A.</t>
      </text>
    </comment>
    <comment authorId="0" ref="BI16">
      <text>
        <t xml:space="preserve">LV - JACOBINA
01. QTD EQUIPES 01 LV / 01 LM/ 02. AR U471407 - ANDERSON ROBERTO/ 03. SUBST MRA370581 - PATRICIO DA SILVA BARBOSA 92 991473742/ 04. SUBST NTS884580 - CARLOS ANDRE SANTOS DA SILVA/ 05. SUBST .NTS333599 - JUCELINO DOS SANTOS  06. SUBST .MRA811574- JAILTON DA SILVA 07.  SUBST .MRA738523 - JULIO SERAFIM DAMACENO 08. SUBST .MRA152590 - EMERSON DE CARVALHO  09. SUBST .MRA148601- CLEBSON REIS NETO
 ETEMILSON: OBS: MAIOR QUE 5 ENCARREGADO, DEFINIR 
LM JACOBINA:
01. QTD EQUIPE 01LM/ 02. AR U460544 - NAILTON SANTANA/ 03. SUBS MRA148601- CLEBSON REIS NETO/ 04. SUBS MRA666519-DOUGLAS DA SILVA MELO/ 05. SUBST .MRA571535-GERALDO DA COSTA GOMES 06.SUBS MRA811574- JAILTON DA SILVA  07. MRA096553-RODRIGO STS. SILVA 08. SUBS.MRA738523 - JULIO SERAFIM DAMACENO 09. MRA152590 - EMERSON DE CARVALHO  10.  .MRA258541- CARLOS CRUZ SANTANA 11.NTS219592 - JAIR DE JESUS </t>
      </text>
    </comment>
    <comment authorId="0" ref="S17">
      <text>
        <t xml:space="preserve">INTERCALAR POSTE AT COM N1 ENTRE OS PG: R029382 - R029383, ENCABEÇAR RD BT NO PG: R029383 E ENERGIZAR OBRA.
</t>
      </text>
    </comment>
    <comment authorId="0" ref="V17">
      <text>
        <t xml:space="preserve">ENCABEÇAR RD BT NO PG: R029383 E ENERGIZAR OBRA.
</t>
      </text>
    </comment>
    <comment authorId="0" ref="BA17">
      <text>
        <t xml:space="preserve">LV:
USAR EPI/EPC 13,8KV / SOLICITAR BLOQUEIO DO RL XXXX  / CRUZAMENTO DE LT/RD: N/A. 
LM:
USAR EPI/EPC 13,8KV / ATERRAMENTO: NA / BLOQUEIO RL N/A / CRUZAMENTO DE LT/RD: N/A.</t>
      </text>
    </comment>
    <comment authorId="0" ref="BI17">
      <text>
        <t xml:space="preserve">LV - JACOBINA
01. QTD EQUIPES 01 LV / 01 LM/ 02. AR U471407 - ANDERSON ROBERTO/ 03. SUBST MRA370581 - PATRICIO DA SILVA BARBOSA 92 991473742/ 04. SUBST NTS884580 - CARLOS ANDRE SANTOS DA SILVA/ 05. SUBST .NTS333599 - JUCELINO DOS SANTOS  06. SUBST .MRA811574- JAILTON DA SILVA 07.  SUBST .MRA738523 - JULIO SERAFIM DAMACENO 08. SUBST .MRA152590 - EMERSON DE CARVALHO  09. SUBST .MRA148601- CLEBSON REIS NETO
 ETEMILSON: OBS: MAIOR QUE 5 ENCARREGADO, DEFINIR 
LM JACOBINA:
01. QTD EQUIPE 01LM/ 02. AR U460544 - NAILTON SANTANA/ 03. SUBS MRA148601- CLEBSON REIS NETO/ 04. SUBS MRA666519-DOUGLAS DA SILVA MELO/ 05. SUBST .MRA571535-GERALDO DA COSTA GOMES 06.SUBS MRA811574- JAILTON DA SILVA  07. MRA096553-RODRIGO STS. SILVA 08. SUBS.MRA738523 - JULIO SERAFIM DAMACENO 09. MRA152590 - EMERSON DE CARVALHO  10.  .MRA258541- CARLOS CRUZ SANTANA 11.NTS219592 - JAIR DE JESUS </t>
      </text>
    </comment>
    <comment authorId="0" ref="S18">
      <text>
        <t xml:space="preserve">INTERCALAR POSTE AT COM N1 E TRAFO ENTRE OS PG: R034870 - R034886, FECHAR CHAVE NOVA PRÓXIMO AO PG: R034870  E ENERGIZAR OBRA.
</t>
      </text>
    </comment>
    <comment authorId="0" ref="X18">
      <text>
        <t xml:space="preserve">ABRIR CH: XXX P/ ADICIONAR FASE DO PG: R034763 AO R034886 E ENERGIZAR OBRA.</t>
      </text>
    </comment>
    <comment authorId="0" ref="BA18">
      <text>
        <t xml:space="preserve">LV:
USAR EPI/EPC 13,8KV / SOLICITAR BLOQUEIO DO RL XXXX  / CRUZAMENTO DE LT/RD: N/A. 
LM:
USAR EPI/EPC 13,8KV / ATERRAMENTO: NA / BLOQUEIO RL N/A / CRUZAMENTO DE LT/RD: N/A.</t>
      </text>
    </comment>
    <comment authorId="0" ref="BI18">
      <text>
        <t xml:space="preserve">LV - JACOBINA
01. QTD EQUIPES 01 LV / 01 LM/ 02. AR U471407 - ANDERSON ROBERTO/ 03. SUBST MRA370581 - PATRICIO DA SILVA BARBOSA 92 991473742/ 04. SUBST NTS884580 - CARLOS ANDRE SANTOS DA SILVA/ 05. SUBST .NTS333599 - JUCELINO DOS SANTOS  06. SUBST .MRA811574- JAILTON DA SILVA 07.  SUBST .MRA738523 - JULIO SERAFIM DAMACENO 08. SUBST .MRA152590 - EMERSON DE CARVALHO  09. SUBST .MRA148601- CLEBSON REIS NETO
 ETEMILSON: OBS: MAIOR QUE 5 ENCARREGADO, DEFINIR 
LM JACOBINA:
01. QTD EQUIPE 01LM/ 02. AR U460544 - NAILTON SANTANA/ 03. SUBS MRA148601- CLEBSON REIS NETO/ 04. SUBS MRA666519-DOUGLAS DA SILVA MELO/ 05. SUBST .MRA571535-GERALDO DA COSTA GOMES 06.SUBS MRA811574- JAILTON DA SILVA  07. MRA096553-RODRIGO STS. SILVA 08. SUBS.MRA738523 - JULIO SERAFIM DAMACENO 09. MRA152590 - EMERSON DE CARVALHO  10.  .MRA258541- CARLOS CRUZ SANTANA 11.NTS219592 - JAIR DE JESUS </t>
      </text>
    </comment>
    <comment authorId="0" ref="S19">
      <text>
        <t xml:space="preserve">INTERCALAR POSTE AT COM N1 E TRAFO ENTRE OS PG: D002682 - D002681, FECHAR CHAVE NOVA PRÓXIMO AO PG: D002682  E ENERGIZAR OBRA.
</t>
      </text>
    </comment>
    <comment authorId="0" ref="V19">
      <text>
        <t xml:space="preserve">FECHAR CHAVE NOVA PRÓXIMO AO PG: D002682  E ENERGIZAR OBRA.</t>
      </text>
    </comment>
    <comment authorId="0" ref="BA19">
      <text>
        <t xml:space="preserve">LV:
USAR EPI/EPC 13,8KV / SOLICITAR BLOQUEIO DO RL XXXX  / CRUZAMENTO DE LT/RD: N/A. 
LM:
USAR EPI/EPC 13,8KV / ATERRAMENTO: NA / BLOQUEIO RL N/A / CRUZAMENTO DE LT/RD: N/A.</t>
      </text>
    </comment>
    <comment authorId="0" ref="BI19">
      <text>
        <t xml:space="preserve">LV - JACOBINA
01. QTD EQUIPES 01 LV / 01 LM/ 02. AR U471407 - ANDERSON ROBERTO/ 03. SUBST MRA370581 - PATRICIO DA SILVA BARBOSA 92 991473742/ 04. SUBST NTS884580 - CARLOS ANDRE SANTOS DA SILVA/ 05. SUBST .NTS333599 - JUCELINO DOS SANTOS  06. SUBST .MRA811574- JAILTON DA SILVA 07.  SUBST .MRA738523 - JULIO SERAFIM DAMACENO 08. SUBST .MRA152590 - EMERSON DE CARVALHO  09. SUBST .MRA148601- CLEBSON REIS NETO
 ETEMILSON: OBS: MAIOR QUE 5 ENCARREGADO, DEFINIR 
LM JACOBINA:
01. QTD EQUIPE 01LM/ 02. AR U460544 - NAILTON SANTANA/ 03. SUBS MRA148601- CLEBSON REIS NETO/ 04. SUBS MRA666519-DOUGLAS DA SILVA MELO/ 05. SUBST .MRA571535-GERALDO DA COSTA GOMES 06.SUBS MRA811574- JAILTON DA SILVA  07. MRA096553-RODRIGO STS. SILVA 08. SUBS.MRA738523 - JULIO SERAFIM DAMACENO 09. MRA152590 - EMERSON DE CARVALHO  10.  .MRA258541- CARLOS CRUZ SANTANA 11.NTS219592 - JAIR DE JESUS </t>
      </text>
    </comment>
    <comment authorId="0" ref="V20">
      <text>
        <t xml:space="preserve">ENCABEÇAR RD BT NO PG: R037021  E ENERGIZAR OBRA.
</t>
      </text>
    </comment>
    <comment authorId="0" ref="BA20">
      <text>
        <t xml:space="preserve">LM:
USAR EPI/EPC 13,8KV / ATERRAMENTO: NA / BLOQUEIO RL N/A / CRUZAMENTO DE LT/RD: N/A.</t>
      </text>
    </comment>
    <comment authorId="0" ref="V21">
      <text>
        <t xml:space="preserve">ENCABEÇAR RD BT NO PG: R031181 E ENERGIZAR OBRA.
</t>
      </text>
    </comment>
    <comment authorId="0" ref="BA21">
      <text>
        <t xml:space="preserve">LM:
USAR EPI/EPC 13,8KV / ATERRAMENTO: NA / BLOQUEIO RL N/A / CRUZAMENTO DE LT/RD: N/A.</t>
      </text>
    </comment>
    <comment authorId="0" ref="BI21">
      <text>
        <t xml:space="preserve"> ETEMILSON: OBS: MAIOR QUE 5 ENCARREGADO, DEFINIR 
LM JACOBINA:
01. QTD EQUIPE 01LM/ 02. AR U460544 - NAILTON SANTANA/ 03. SUBS MRA148601- CLEBSON REIS NETO/ 04. SUBS MRA666519-DOUGLAS DA SILVA MELO/ 05. SUBST .MRA571535-GERALDO DA COSTA GOMES 06.SUBS MRA811574- JAILTON DA SILVA  07. SUBST .MRA096553-RODRIGO STS. SILVA 08. SUBS.MRA738523 - JULIO SERAFIM DAMACENO 09. MRA152590 - EMERSON DE CARVALHO  10.  .MRA258541- CARLOS CRUZ SANTANA 11.NTS219592 - JAIR DE JESUS 
</t>
      </text>
    </comment>
    <comment authorId="0" ref="V22">
      <text>
        <t xml:space="preserve">ENCABEÇAR RD BT NO PG: D002725 E ENERGIZAR OBRA.
</t>
      </text>
    </comment>
    <comment authorId="0" ref="BA22">
      <text>
        <t xml:space="preserve">LM:
USAR EPI/EPC 13,8KV / ATERRAMENTO: NA / BLOQUEIO RL N/A / CRUZAMENTO DE LT/RD: N/A.</t>
      </text>
    </comment>
    <comment authorId="0" ref="BI22">
      <text>
        <t xml:space="preserve"> ETEMILSON: OBS: MAIOR QUE 5 ENCARREGADO, DEFINIR 
LM JACOBINA:
01. QTD EQUIPE 01LM/ 02. AR U460544 - NAILTON SANTANA/ 03. SUBS MRA148601- CLEBSON REIS NETO/ 04. SUBS MRA666519-DOUGLAS DA SILVA MELO/ 05. SUBST .MRA571535-GERALDO DA COSTA GOMES 06.SUBS MRA811574- JAILTON DA SILVA  07. SUBST .MRA096553-RODRIGO STS. SILVA 08. SUBS.MRA738523 - JULIO SERAFIM DAMACENO 09. MRA152590 - EMERSON DE CARVALHO  10.  .MRA258541- CARLOS CRUZ SANTANA 11.NTS219592 - JAIR DE JESUS 
</t>
      </text>
    </comment>
    <comment authorId="0" ref="V23">
      <text>
        <t xml:space="preserve">INTECALAR POSTE BT ENTRE OS PG: R033047 - R033048 E ENERGIZAR OBRA.</t>
      </text>
    </comment>
    <comment authorId="0" ref="X23">
      <text>
        <t xml:space="preserve">ABRIR CHAVE: J03329 P/ INTECALAR POSTE BT ENTRE OS PG: R033047 - R033048 E ENERGIZAR OBRA.</t>
      </text>
    </comment>
    <comment authorId="0" ref="BA23">
      <text>
        <t xml:space="preserve">LM:
USAR EPI/EPC 13,8KV / ATERRAMENTO: NA / BLOQUEIO RL N/A / CRUZAMENTO DE LT/RD: N/A.</t>
      </text>
    </comment>
    <comment authorId="0" ref="S24">
      <text>
        <t xml:space="preserve">ALTERAR ESTRUTURA DE N3-3 NO PG: E274207, FECHAR CHAVE NOVA PRÓXIMO AO PG: E274207 E ENERGIZAR OBRA.
</t>
      </text>
    </comment>
    <comment authorId="0" ref="V24">
      <text>
        <t xml:space="preserve">FECHAR CHAVE NOVA PRÓXIMO AO PG: E274207 E ENERGIZAR OBRA.</t>
      </text>
    </comment>
    <comment authorId="0" ref="BA24">
      <text>
        <t xml:space="preserve">LV:
USAR EPI/EPC 13,8KV / SOLICITAR BLOQUEIO DO RL XXXX  / CRUZAMENTO DE LT/RD: N/A. 
LM:
USAR EPI/EPC 13,8KV / ATERRAMENTO: NA / BLOQUEIO RL N/A / CRUZAMENTO DE LT/RD: N/A.</t>
      </text>
    </comment>
    <comment authorId="0" ref="BI24">
      <text>
        <t xml:space="preserve">LV - JACOBINA
01. QTD EQUIPES 01 LV / 01 LM/ 02. AR U471407 - ANDERSON ROBERTO/ 03. SUBST MRA370581 - PATRICIO DA SILVA BARBOSA 92 991473742/ 04. SUBST NTS884580 - CARLOS ANDRE SANTOS DA SILVA/ 05. SUBST .NTS333599 - JUCELINO DOS SANTOS  06. SUBST .MRA811574- JAILTON DA SILVA 07.  SUBST .MRA738523 - JULIO SERAFIM DAMACENO 08. SUBST .MRA152590 - EMERSON DE CARVALHO  09. SUBST .MRA148601- CLEBSON REIS NETO
 ETEMILSON: OBS: MAIOR QUE 5 ENCARREGADO, DEFINIR 
LM JACOBINA:
01. QTD EQUIPE 01LM/ 02. AR U460544 - NAILTON SANTANA/ 03. SUBS MRA148601- CLEBSON REIS NETO/ 04. SUBS MRA666519-DOUGLAS DA SILVA MELO/ 05. SUBST .MRA571535-GERALDO DA COSTA GOMES 06.SUBS MRA811574- JAILTON DA SILVA  07. MRA096553-RODRIGO STS. SILVA 08. SUBS.MRA738523 - JULIO SERAFIM DAMACENO 09. MRA152590 - EMERSON DE CARVALHO  10.  .MRA258541- CARLOS CRUZ SANTANA 11.NTS219592 - JAIR DE JESUS </t>
      </text>
    </comment>
    <comment authorId="0" ref="V25">
      <text>
        <t xml:space="preserve">ENCABEÇAR RD BT NO PG: E496207 E ENERGIZAR OBRA.
</t>
      </text>
    </comment>
    <comment authorId="0" ref="BA25">
      <text>
        <t xml:space="preserve">LM:
USAR EPI/EPC 13,8KV / ATERRAMENTO: NA / BLOQUEIO RL N/A / CRUZAMENTO DE LT/RD: N/A.</t>
      </text>
    </comment>
    <comment authorId="0" ref="BI25">
      <text>
        <t xml:space="preserve"> ETEMILSON: OBS: MAIOR QUE 5 ENCARREGADO, DEFINIR 
LM JACOBINA:
01. QTD EQUIPE 01LM/ 02. AR U460544 - NAILTON SANTANA/ 03. SUBS MRA148601- CLEBSON REIS NETO/ 04. SUBS MRA666519-DOUGLAS DA SILVA MELO/ 05. SUBST .MRA571535-GERALDO DA COSTA GOMES 06.SUBS MRA811574- JAILTON DA SILVA  07. SUBST .MRA096553-RODRIGO STS. SILVA 08. SUBS.MRA738523 - JULIO SERAFIM DAMACENO 09. MRA152590 - EMERSON DE CARVALHO  10.  .MRA258541- CARLOS CRUZ SANTANA 11.NTS219592 - JAIR DE JESUS 
</t>
      </text>
    </comment>
    <comment authorId="0" ref="X26">
      <text>
        <t xml:space="preserve">ABRIR CHAVE DO TRAFO: J13724 PARA RECONDUTORAMENTO BT DO PG: R037422 AO D026733, SUBSTITUIR POSTE: D026733 E ENERGIZAR OBRA.</t>
      </text>
    </comment>
    <comment authorId="0" ref="BA26">
      <text>
        <t xml:space="preserve">LM:
USAR EPI/EPC 13,8KV / ATERRAMENTO: NA / BLOQUEIO RL N/A / CRUZAMENTO DE LT/RD: N/A.</t>
      </text>
    </comment>
    <comment authorId="0" ref="V27">
      <text>
        <t xml:space="preserve">ENCABEÇAR RD BT NO PG: E664647 E ENERGIZAR OBRA.
</t>
      </text>
    </comment>
    <comment authorId="0" ref="BA27">
      <text>
        <t xml:space="preserve">LM:
USAR EPI/EPC 13,8KV / ATERRAMENTO: NA / BLOQUEIO RL N/A / CRUZAMENTO DE LT/RD: N/A.</t>
      </text>
    </comment>
    <comment authorId="0" ref="BI27">
      <text>
        <t xml:space="preserve"> ETEMILSON: OBS: MAIOR QUE 5 ENCARREGADO, DEFINIR 
LM JACOBINA:
01. QTD EQUIPE 01LM/ 02. AR U460544 - NAILTON SANTANA/ 03. SUBS MRA148601- CLEBSON REIS NETO/ 04. SUBS MRA666519-DOUGLAS DA SILVA MELO/ 05. SUBST .MRA571535-GERALDO DA COSTA GOMES 06.SUBS MRA811574- JAILTON DA SILVA  07. SUBST .MRA096553-RODRIGO STS. SILVA 08. SUBS.MRA738523 - JULIO SERAFIM DAMACENO 09. MRA152590 - EMERSON DE CARVALHO  10.  .MRA258541- CARLOS CRUZ SANTANA 11.NTS219592 - JAIR DE JESUS 
</t>
      </text>
    </comment>
    <comment authorId="0" ref="S28">
      <text>
        <t xml:space="preserve">INTERCALAR 02 POSTES AT COM N1 ENTRE OS PG: E039874 - E039872, ENCABEÇAR RD BT NO PG: E039874 E ENERGIZAR OBRA.
</t>
      </text>
    </comment>
    <comment authorId="0" ref="V28">
      <text>
        <t xml:space="preserve">ENCABEÇAR RD BT NO PG: E039874 E ENERGIZAR OBRA.</t>
      </text>
    </comment>
    <comment authorId="0" ref="BA28">
      <text>
        <t xml:space="preserve">LV:
USAR EPI/EPC 13,8KV / SOLICITAR BLOQUEIO DO RL XXXX  / CRUZAMENTO DE LT/RD: N/A. 
LM:
USAR EPI/EPC 13,8KV / ATERRAMENTO: NA / BLOQUEIO RL N/A / CRUZAMENTO DE LT/RD: N/A.</t>
      </text>
    </comment>
    <comment authorId="0" ref="BI28">
      <text>
        <t xml:space="preserve">LV - JACOBINA
01. QTD EQUIPES 01 LV / 01 LM/ 02. AR U471407 - ANDERSON ROBERTO/ 03. SUBST MRA370581 - PATRICIO DA SILVA BARBOSA 92 991473742/ 04. SUBST NTS884580 - CARLOS ANDRE SANTOS DA SILVA/ 05. SUBST .NTS333599 - JUCELINO DOS SANTOS  06. SUBST .MRA811574- JAILTON DA SILVA 07.  SUBST .MRA738523 - JULIO SERAFIM DAMACENO 08. SUBST .MRA152590 - EMERSON DE CARVALHO  09. SUBST .MRA148601- CLEBSON REIS NETO
 ETEMILSON: OBS: MAIOR QUE 5 ENCARREGADO, DEFINIR 
LM JACOBINA:
01. QTD EQUIPE 01LM/ 02. AR U460544 - NAILTON SANTANA/ 03. SUBS MRA148601- CLEBSON REIS NETO/ 04. SUBS MRA666519-DOUGLAS DA SILVA MELO/ 05. SUBST .MRA571535-GERALDO DA COSTA GOMES 06.SUBS MRA811574- JAILTON DA SILVA  07. MRA096553-RODRIGO STS. SILVA 08. SUBS.MRA738523 - JULIO SERAFIM DAMACENO 09. MRA152590 - EMERSON DE CARVALHO  10.  .MRA258541- CARLOS CRUZ SANTANA 11.NTS219592 - JAIR DE JESUS </t>
      </text>
    </comment>
    <comment authorId="0" ref="BK28">
      <text>
        <t xml:space="preserve">INTERCALAR 02 POSTES AT COM N1 ENTRE OS PG: E039874 - E039872, ENCABEÇAR RD BT NO PG: E039874 E ENERGIZAR OBRA.
</t>
      </text>
    </comment>
    <comment authorId="0" ref="S29">
      <text>
        <t xml:space="preserve">INTERCALAR POSTE AT COM N1-3 ENTRE OS PG: R039027 - R039026, FECHAR CHAVE NOVA PRÓXIMO AO PG: R039027  E ENERGIZAR OBRA.
</t>
      </text>
    </comment>
    <comment authorId="0" ref="BA29">
      <text>
        <t xml:space="preserve">LV:
USAR EPI/EPC 13,8KV / SOLICITAR BLOQUEIO DO RL XXXX  / CRUZAMENTO DE LT/RD: N/A. 
LM:
USAR EPI/EPC 13,8KV / ATERRAMENTO: NA / BLOQUEIO RL N/A / CRUZAMENTO DE LT/RD: N/A.</t>
      </text>
    </comment>
    <comment authorId="0" ref="BI29">
      <text>
        <t xml:space="preserve">LV - JACOBINA
01. QTD EQUIPES 01 LV / 01 LM/ 02. AR U460544 - NAILTON SANTANA/ 03. SUBST NTS27946 - PATRICIO DA SILVA BARBOSA 92 991473742/ 04. SUBST NTS884580 - CARLOS ANDRE SANTOS DA SILVA/ 05. SUBST .NTS333599 - JUCELINO DOS SANTOS  06. SUBST .NTS571535-GERALDO DA COSTA GOMES 07.  SUBST .NTS152590 - EMERSON DE CARVALHO  08. SUBST .NTS811574- JAILTON DA SILVA 09. SUBST .NTS258541 - CARLOS CRUZ SANTANA
 ETEMILSON: OBS: MAIOR QUE 5 ENCARREGADO, DEFINIR 
LM JACOBINA:
01. QTD EQUIPE 01LM/ 02. AR U460544 - NAILTON SANTANA/ 03. SUBST NTS148601- CLEBSON REIS NETO/ 04. SUBST NTS666519-DOUGLAS DA SILVA MELO/ 05. SUBST .NTS571535-GERALDO DA COSTA GOMES 06.SUBST.NTS811574- JAILTON DA SILVA  07. SUBST .NTS096553-RODRIGO STS. SILVA 08. SUBST .NTS738523 - JULIO SERAFIM DAMACENO 09. SUBST NTS152590 - EMERSON DE CARVALHO  10. SUBST .NTS258541 - CARLOS CRUZ SANTANA </t>
      </text>
    </comment>
    <comment authorId="0" ref="S30">
      <text>
        <t xml:space="preserve">SUBSTITUIR POSTE AT 11/400 POR 11/600 NO PG: D217319 E ENERGIZAR OBRA.
</t>
      </text>
    </comment>
    <comment authorId="0" ref="V30">
      <text>
        <t xml:space="preserve">FECHAR CHAVE NOVA PRÓXIMO AO PG: XXX E ENERGIZAR OBRA.
</t>
      </text>
    </comment>
    <comment authorId="0" ref="X30">
      <text>
        <t xml:space="preserve">ABRIR CH. TF: XXX P/ SUBSTITUIR POSTE BT POR AT NO PG: D217323, REALOCAR RD BT DO PG: D217323 AO D217319 PRA POSTES NOVOS E ENERGIZAR OBRA.</t>
      </text>
    </comment>
    <comment authorId="0" ref="BA30">
      <text>
        <t xml:space="preserve">LV:
USAR EPI/EPC 13,8KV / SOLICITAR BLOQUEIO DO RL XXXX  / CRUZAMENTO DE LT/RD: N/A. 
LM:
USAR EPI/EPC 13,8KV / ATERRAMENTO: NA / BLOQUEIO RL N/A / CRUZAMENTO DE LT/RD: N/A.</t>
      </text>
    </comment>
    <comment authorId="0" ref="BI30">
      <text>
        <t xml:space="preserve">LV - JACOBINA
01. QTD EQUIPES 01 LV / 01 LM/ 02. AR U471407 - ANDERSON ROBERTO/ 03. SUBST MRA370581 - PATRICIO DA SILVA BARBOSA 92 991473742/ 04. SUBST NTS884580 - CARLOS ANDRE SANTOS DA SILVA/ 05. SUBST .NTS333599 - JUCELINO DOS SANTOS  06. SUBST .MRA811574- JAILTON DA SILVA 07.  SUBST .MRA738523 - JULIO SERAFIM DAMACENO 08. SUBST .MRA152590 - EMERSON DE CARVALHO  09. SUBST .MRA148601- CLEBSON REIS NETO
 ETEMILSON: OBS: MAIOR QUE 5 ENCARREGADO, DEFINIR 
LM JACOBINA:
01. QTD EQUIPE 01LM/ 02. AR U460544 - NAILTON SANTANA/ 03. SUBS MRA148601- CLEBSON REIS NETO/ 04. SUBS MRA666519-DOUGLAS DA SILVA MELO/ 05. SUBST .MRA571535-GERALDO DA COSTA GOMES 06.SUBS MRA811574- JAILTON DA SILVA  07. MRA096553-RODRIGO STS. SILVA 08. SUBS.MRA738523 - JULIO SERAFIM DAMACENO 09. MRA152590 - EMERSON DE CARVALHO  10.  .MRA258541- CARLOS CRUZ SANTANA 11.NTS219592 - JAIR DE JESUS </t>
      </text>
    </comment>
    <comment authorId="0" ref="S31">
      <text>
        <t xml:space="preserve">INTERCALAR POSTE AT COM B1-3 ENTRE OS PG: B865579 - B865578, FECHAR CHAVE NOVA PRÓXIMO AO PG: B865579  E ENERGIZAR OBRA.
</t>
      </text>
    </comment>
    <comment authorId="0" ref="BA31">
      <text>
        <t xml:space="preserve">LV:
LM:
USAR EPI/EPC 13,8KV / ATERRAMENTO: NA / BLOQUEIO RL N/A / CRUZAMENTO DE LT/RD: N/A.</t>
      </text>
    </comment>
    <comment authorId="0" ref="BI31">
      <text>
        <t xml:space="preserve">LV - JACOBINA
01. QTD EQUIPES 01 LV / 01 LM/ 02. AR U460544 - NAILTON SANTANA/ 03. SUBST NTS27946 - PATRICIO DA SILVA BARBOSA 92 991473742/ 04. SUBST NTS884580 - CARLOS ANDRE SANTOS DA SILVA/ 05. SUBST .NTS333599 - JUCELINO DOS SANTOS  06. SUBST .NTS571535-GERALDO DA COSTA GOMES 07.  SUBST .NTS152590 - EMERSON DE CARVALHO  08. SUBST .NTS811574- JAILTON DA SILVA 09. SUBST .NTS258541 - CARLOS CRUZ SANTANA
 ETEMILSON: OBS: MAIOR QUE 5 ENCARREGADO, DEFINIR 
LM JACOBINA:
01. QTD EQUIPE 01LM/ 02. AR U460544 - NAILTON SANTANA/ 03. SUBST NTS148601- CLEBSON REIS NETO/ 04. SUBST NTS666519-DOUGLAS DA SILVA MELO/ 05. SUBST .NTS571535-GERALDO DA COSTA GOMES 06.SUBST.NTS811574- JAILTON DA SILVA  07. SUBST .NTS096553-RODRIGO STS. SILVA 08. SUBST .NTS738523 - JULIO SERAFIM DAMACENO 09. SUBST NTS152590 - EMERSON DE CARVALHO  10. SUBST .NTS258541 - CARLOS CRUZ SANTANA </t>
      </text>
    </comment>
    <comment authorId="0" ref="S32">
      <text>
        <t xml:space="preserve">MONTAR BANCADA COM N3 NO PG: R032578, FECHAR CHAVE NOVA PRÓXIMO AO PG: R032578 E ENERGIZAR OBRA.
</t>
      </text>
    </comment>
    <comment authorId="0" ref="V32">
      <text>
        <t xml:space="preserve">FECHAR CHAVE NOVA PRÓXIMO AO PG: R032578 E ENERGIZAR OBRA.</t>
      </text>
    </comment>
    <comment authorId="0" ref="BA32">
      <text>
        <t xml:space="preserve">LV:
USAR EPI/EPC 13,8KV / SOLICITAR BLOQUEIO DO RL XXXX  / CRUZAMENTO DE LT/RD: N/A. 
LM:
USAR EPI/EPC 13,8KV / ATERRAMENTO: NA / BLOQUEIO RL N/A / CRUZAMENTO DE LT/RD: N/A.</t>
      </text>
    </comment>
    <comment authorId="0" ref="S33">
      <text>
        <t xml:space="preserve">MONTAR BANCADA COM N3 NO PG: B992459, FECHAR CHAVE NOVA PRÓXIMO AO PG: B992459 E ENERGIZAR OBRA.</t>
      </text>
    </comment>
    <comment authorId="0" ref="BA33">
      <text>
        <t xml:space="preserve">LV:
USAR EPI/EPC 13,8KV / SOLICITAR BLOQUEIO DO RL XXXX  / CRUZAMENTO DE LT/RD: N/A. 
LM:
USAR EPI/EPC 13,8KV / ATERRAMENTO: NA / BLOQUEIO RL N/A / CRUZAMENTO DE LT/RD: N/A.</t>
      </text>
    </comment>
    <comment authorId="0" ref="BI33">
      <text>
        <t xml:space="preserve">LV - JACOBINA
01. QTD EQUIPES 01 LV / 01 LM/ 02. AR U460544 - NAILTON SANTANA/ 03. SUBST NTS27946 - PATRICIO DA SILVA BARBOSA 92 991473742/ 04. SUBST NTS884580 - CARLOS ANDRE SANTOS DA SILVA/ 05. SUBST .NTS333599 - JUCELINO DOS SANTOS  06. SUBST .NTS571535-GERALDO DA COSTA GOMES 07.  SUBST .NTS152590 - EMERSON DE CARVALHO  08. SUBST .NTS811574- JAILTON DA SILVA 09. SUBST .NTS258541 - CARLOS CRUZ SANTANA
 ETEMILSON: OBS: MAIOR QUE 5 ENCARREGADO, DEFINIR 
LM JACOBINA:
01. QTD EQUIPE 01LM/ 02. AR U460544 - NAILTON SANTANA/ 03. SUBST NTS148601- CLEBSON REIS NETO/ 04. SUBST NTS666519-DOUGLAS DA SILVA MELO/ 05. SUBST .NTS571535-GERALDO DA COSTA GOMES 06.SUBST.NTS811574- JAILTON DA SILVA  07. SUBST .NTS096553-RODRIGO STS. SILVA 08. SUBST .NTS738523 - JULIO SERAFIM DAMACENO 09. SUBST NTS152590 - EMERSON DE CARVALHO  10. SUBST .NTS258541 - CARLOS CRUZ SANTANA </t>
      </text>
    </comment>
    <comment authorId="0" ref="S34">
      <text>
        <t xml:space="preserve">INTERCALAR POSTE AT COM N1-3 ENTRE OS  PG: R035801 R035802, FECHAR CHAVE NOVA PRÓXIMO AO PG: R035802 E ENERGIZAR OBRA.
</t>
      </text>
    </comment>
    <comment authorId="0" ref="BA34">
      <text>
        <t xml:space="preserve">LV:
USAR EPI/EPC 13,8KV / SOLICITAR BLOQUEIO DO RL XXXX  / CRUZAMENTO DE LT/RD: N/A. 
LM:
USAR EPI/EPC 13,8KV / ATERRAMENTO: NA / BLOQUEIO RL N/A / CRUZAMENTO DE LT/RD: N/A.
</t>
      </text>
    </comment>
    <comment authorId="0" ref="BI34">
      <text>
        <t xml:space="preserve">LV - JACOBINA
01. QTD EQUIPES 01 LV / 01 LM/ 02. AR U460544 - NAILTON SANTANA/ 03. SUBST NTS27946 - PATRICIO DA SILVA BARBOSA 92 991473742/ 04. SUBST NTS884580 - CARLOS ANDRE SANTOS DA SILVA/ 05. SUBST .NTS333599 - JUCELINO DOS SANTOS  06. SUBST .NTS252517 - LUCIANO NUNES DA SILVA  07.  SUBST .NTS554506 - FABIANO LOPES MORAES  08. SUBST .NTS177595 - DIOGO CRUZ DOS SANTOS 09. SUBST .NTS219559 - CAIQUE SILVA LIMA
GILVANDO:
LM JACOBINA:
01. QTD EQUIPES 01LM/ 02. RESP COELBA U464710 - MANOEL GUSTAVO/ 03. RESP SUBST NTS252517 - LUCIANO NUNES DA SILVA / 04. R NTS177595 - DIOGO CRUZ DOS SANTOS ESP SUBST NTS554506 - FABIANO LOPES MORAES / 05. RESP SUBST . 06. RESP SUBST .  07. RESP SUBST .NTS219559 - CAIQUE SILVA LIMA 08. RESP SUBST .NTS025538 - GILVANDO RIOS DA CRUZ 92 99521-6405 </t>
      </text>
    </comment>
    <comment authorId="0" ref="S35">
      <text>
        <t xml:space="preserve">INTERCALAR POSTE AT COM N1-3 ENTRE OS PG: R029057 - R029058, FECHAR CHAVE NOVA PRÓXIMO AO PG: R029057  E ENERGIZAR OBRA.
</t>
      </text>
    </comment>
    <comment authorId="0" ref="BA35">
      <text>
        <t xml:space="preserve">LV:
USAR EPI/EPC 13,8KV / SOLICITAR BLOQUEIO DO RL XXXX  / CRUZAMENTO DE LT/RD: N/A. 
LM:
USAR EPI/EPC 13,8KV / ATERRAMENTO: NA / BLOQUEIO RL N/A / CRUZAMENTO DE LT/RD: N/A.</t>
      </text>
    </comment>
    <comment authorId="0" ref="BI35">
      <text>
        <t xml:space="preserve">LV - JACOBINA
01. QTD EQUIPES 01 LV / 01 LM/ 02. AR U460544 - NAILTON SANTANA/ 03. SUBST NTS27946 - PATRICIO DA SILVA BARBOSA 92 991473742/ 04. SUBST NTS884580 - CARLOS ANDRE SANTOS DA SILVA/ 05. SUBST .NTS333599 - JUCELINO DOS SANTOS  06. SUBST .NTS571535-GERALDO DA COSTA GOMES 07.  SUBST .NTS152590 - EMERSON DE CARVALHO  08. SUBST .NTS811574- JAILTON DA SILVA 09. SUBST .NTS258541 - CARLOS CRUZ SANTANA
 ETEMILSON: OBS: MAIOR QUE 5 ENCARREGADO, DEFINIR 
LM JACOBINA:
01. QTD EQUIPE 01LM/ 02. AR U460544 - NAILTON SANTANA/ 03. SUBST NTS148601- CLEBSON REIS NETO/ 04. SUBST NTS666519-DOUGLAS DA SILVA MELO/ 05. SUBST .NTS571535-GERALDO DA COSTA GOMES 06.SUBST.NTS811574- JAILTON DA SILVA  07. SUBST .NTS096553-RODRIGO STS. SILVA 08. SUBST .NTS738523 - JULIO SERAFIM DAMACENO 09. SUBST NTS152590 - EMERSON DE CARVALHO  10. SUBST .NTS258541 - CARLOS CRUZ SANTANA </t>
      </text>
    </comment>
    <comment authorId="0" ref="S36">
      <text>
        <t xml:space="preserve">INTERCALAR POSTE AT COM N1 E TRAFO ENTRE OS PG: E835332 - E835331, FECHAR CHAVE NOVA PRÓXIMO AO PG: E835331 E ENERGIZAR OBRA.
</t>
      </text>
    </comment>
    <comment authorId="0" ref="BA36">
      <text>
        <t xml:space="preserve">LV:
USAR EPI/EPC 13,8KV / SOLICITAR BLOQUEIO DO RL XXXX  / CRUZAMENTO DE LT/RD: N/A. 
LM:
USAR EPI/EPC 13,8KV / ATERRAMENTO: NA / BLOQUEIO RL N/A / CRUZAMENTO DE LT/RD: N/A.</t>
      </text>
    </comment>
    <comment authorId="0" ref="BI36">
      <text>
        <t xml:space="preserve">LV - JACOBINA
01. QTD EQUIPES 01 LV / 01 LM/ 02. AR U460544 - NAILTON SANTANA/ 03. SUBST NTS27946 - PATRICIO DA SILVA BARBOSA 92 991473742/ 04. SUBST NTS884580 - CARLOS ANDRE SANTOS DA SILVA/ 05. SUBST .NTS333599 - JUCELINO DOS SANTOS  06. SUBST .NTS571535-GERALDO DA COSTA GOMES 07.  SUBST .NTS152590 - EMERSON DE CARVALHO  08. SUBST .NTS811574- JAILTON DA SILVA 09. SUBST .NTS258541 - CARLOS CRUZ SANTANA
 ETEMILSON: OBS: MAIOR QUE 5 ENCARREGADO, DEFINIR 
LM JACOBINA:
01. QTD EQUIPE 01LM/ 02. AR U460544 - NAILTON SANTANA/ 03. SUBST NTS148601- CLEBSON REIS NETO/ 04. SUBST NTS666519-DOUGLAS DA SILVA MELO/ 05. SUBST .NTS571535-GERALDO DA COSTA GOMES 06.SUBST.NTS811574- JAILTON DA SILVA  07. SUBST .NTS096553-RODRIGO STS. SILVA 08. SUBST .NTS738523 - JULIO SERAFIM DAMACENO 09. SUBST NTS152590 - EMERSON DE CARVALHO  10. SUBST .NTS258541 - CARLOS CRUZ SANTANA </t>
      </text>
    </comment>
    <comment authorId="0" ref="V37">
      <text>
        <t xml:space="preserve">ENCABEÇAR RD BT NO PG: D167782 E ENERGIZAR OBRA.
</t>
      </text>
    </comment>
    <comment authorId="0" ref="BA37">
      <text>
        <t xml:space="preserve">LM:
USAR EPI/EPC 13,8KV / ATERRAMENTO: NA / BLOQUEIO RL N/A / CRUZAMENTO DE LT/RD: N/A.</t>
      </text>
    </comment>
    <comment authorId="0" ref="BI37">
      <text>
        <t xml:space="preserve">01. QTD EQUIPES 01LM/ 02. AR U460544 - NAILTON SANTANA/ 03. RESP SUBST MRA252517 - LUCIANO NUNES DA SILVA / 04. R  MRA177595- DIOGO CRUZ DOS SANTOS ESP SUBST MRA554506- FABIANO LOPES MORAES / 05. RESP SUBST . 06. RESP SUBST .  07. RESP SUBST .MRA219559 - CAIQUE SILVA LIMA 08. RESP SUBST .NTS025538 - GILVANDO RIOS DA CRUZ 92 99521-6405 </t>
      </text>
    </comment>
    <comment authorId="0" ref="V38">
      <text>
        <t xml:space="preserve">ENCABEÇAR RD BT NO PG: D006389 E ENERGIZAR OBRA.
</t>
      </text>
    </comment>
    <comment authorId="0" ref="BA38">
      <text>
        <t xml:space="preserve">LM:
USAR EPI/EPC 13,8KV / ATERRAMENTO: NA / BLOQUEIO RL N/A / CRUZAMENTO DE LT/RD: N/A.</t>
      </text>
    </comment>
    <comment authorId="0" ref="BI38">
      <text>
        <t xml:space="preserve">01. QTD EQUIPES 01LM/ 02. AR U460544 - NAILTON SANTANA/ 03. RESP SUBST MRA252517 - LUCIANO NUNES DA SILVA / 04. R  MRA177595- DIOGO CRUZ DOS SANTOS ESP SUBST MRA554506- FABIANO LOPES MORAES / 05. RESP SUBST . 06. RESP SUBST .  07. RESP SUBST .MRA219559 - CAIQUE SILVA LIMA 08. RESP SUBST .NTS025538 - GILVANDO RIOS DA CRUZ 92 99521-6405 </t>
      </text>
    </comment>
    <comment authorId="0" ref="S39">
      <text>
        <t xml:space="preserve">INTERCALAR POSTE AT COM N1-3 ENTRE OS PG: Q063898 - E476199, FECHAR CHAVE NOVA PRÓXIMO AO PG: Q063898  E ENERGIZAR OBRA.
</t>
      </text>
    </comment>
    <comment authorId="0" ref="V39">
      <text>
        <t xml:space="preserve">FECHAR CHAVE NOVA PRÓXIMO AO PG: Q063898  E ENERGIZAR OBRA.</t>
      </text>
    </comment>
    <comment authorId="0" ref="BA39">
      <text>
        <t xml:space="preserve">LV:
USAR EPI/EPC 13,8KV / SOLICITAR BLOQUEIO DO RL XXXX  / CRUZAMENTO DE LT/RD: N/A. 
LM:
USAR EPI/EPC 13,8KV / ATERRAMENTO: NA / BLOQUEIO RL N/A / CRUZAMENTO DE LT/RD: N/A.</t>
      </text>
    </comment>
    <comment authorId="0" ref="BI39">
      <text>
        <t xml:space="preserve">LV - JACOBINA
01. QTD EQUIPES 01 LV / 01 LM/ 02. AR U471407 - ANDERSON ROBERTO/ 03. SUBST NTS27946 - PATRICIO DA SILVA BARBOSA 92 991473742/ 04. SUBST NTS884580 - CARLOS ANDRE SANTOS DA SILVA/ 05. SUBST .NTS333599 - JUCELINO DOS SANTOS  06. SUBST .NTS571535-GERALDO DA COSTA GOMES 07.  SUBST .NTS152590 - EMERSON DE CARVALHO  08. SUBST .NTS811574- JAILTON DA SILVA 09. SUBST .NTS258541 - CARLOS CRUZ SANTANA
 ETEMILSON: OBS: MAIOR QUE 5 ENCARREGADO, DEFINIR 
LM JACOBINA:
01. QTD EQUIPE 01LM/ 02. AR U471407 - ANDERSON ROBERTO/ 03. SUBST NTS148601- CLEBSON REIS NETO/ 04. SUBST NTS666519-DOUGLAS DA SILVA MELO/ 05. SUBST .NTS571535-GERALDO DA COSTA GOMES 06.SUBST.NTS811574- JAILTON DA SILVA  07. SUBST .NTS096553-RODRIGO STS. SILVA 08. SUBST .NTS738523 - JULIO SERAFIM DAMACENO 09. SUBST NTS152590 - EMERSON DE CARVALHO  10. SUBST .NTS258541 - CARLOS CRUZ SANTANA </t>
      </text>
    </comment>
    <comment authorId="0" ref="V40">
      <text>
        <t xml:space="preserve">ENCABEÇAR RD BT NO PG: Q063861 E ENERGIZAR OBRA.
</t>
      </text>
    </comment>
    <comment authorId="0" ref="BA40">
      <text>
        <t xml:space="preserve">LV:
USAR EPI/EPC 13,8KV / SOLICITAR BLOQUEIO DO RL XXXX  / CRUZAMENTO DE LT/RD: N/A. 
LM:
USAR EPI/EPC 13,8KV / ATERRAMENTO: NA / BLOQUEIO RL N/A / CRUZAMENTO DE LT/RD: N/A.</t>
      </text>
    </comment>
    <comment authorId="0" ref="BI40">
      <text>
        <t xml:space="preserve">LV - JACOBINA
01. QTD EQUIPES 01 LV / 01 LM/ 02. AR U471407 - ANDERSON ROBERTO/ 03. SUBST NTS27946 - PATRICIO DA SILVA BARBOSA 92 991473742/ 04. SUBST NTS884580 - CARLOS ANDRE SANTOS DA SILVA/ 05. SUBST .NTS333599 - JUCELINO DOS SANTOS  06. SUBST .NTS571535-GERALDO DA COSTA GOMES 07.  SUBST .NTS152590 - EMERSON DE CARVALHO  08. SUBST .NTS811574- JAILTON DA SILVA 09. SUBST .NTS258541 - CARLOS CRUZ SANTANA
 ETEMILSON: OBS: MAIOR QUE 5 ENCARREGADO, DEFINIR 
LM JACOBINA:
01. QTD EQUIPE 01LM/ 02. AR U471407 - ANDERSON ROBERTO/ 03. SUBST NTS148601- CLEBSON REIS NETO/ 04. SUBST NTS666519-DOUGLAS DA SILVA MELO/ 05. SUBST .NTS571535-GERALDO DA COSTA GOMES 06.SUBST.NTS811574- JAILTON DA SILVA  07. SUBST .NTS096553-RODRIGO STS. SILVA 08. SUBST .NTS738523 - JULIO SERAFIM DAMACENO 09. SUBST NTS152590 - EMERSON DE CARVALHO  10. SUBST .NTS258541 - CARLOS CRUZ SANTANA </t>
      </text>
    </comment>
    <comment authorId="0" ref="V41">
      <text>
        <t xml:space="preserve">ENCABEÇAR RD BT NO PG: B418527 E ENERGIZAR OBRA.
</t>
      </text>
    </comment>
    <comment authorId="0" ref="BA41">
      <text>
        <t xml:space="preserve">LM:
USAR EPI/EPC 13,8KV / ATERRAMENTO: NA / BLOQUEIO RL N/A / CRUZAMENTO DE LT/RD: N/A.</t>
      </text>
    </comment>
    <comment authorId="0" ref="BI41">
      <text>
        <t xml:space="preserve">01. QTD EQUIPES 01LM/ 02. AR U460544 - NAILTON SANTANA/ 03. RESP SUBST MRA252517 - LUCIANO NUNES DA SILVA / 04. R  MRA177595- DIOGO CRUZ DOS SANTOS ESP SUBST MRA554506- FABIANO LOPES MORAES / 05. RESP SUBST . 06. RESP SUBST .  07. RESP SUBST .MRA219559 - CAIQUE SILVA LIMA 08. RESP SUBST .NTS025538 - GILVANDO RIOS DA CRUZ 92 99521-6405 </t>
      </text>
    </comment>
    <comment authorId="0" ref="V42">
      <text>
        <t xml:space="preserve">INTECALAR POSTE BT ENTRE OS PG: E233111  - E233110, ENCABEÇAR RD BT NO PG: E233111 E ENERGIZAR OBRA.
</t>
      </text>
    </comment>
    <comment authorId="0" ref="BA42">
      <text>
        <t xml:space="preserve">LM:
USAR EPI/EPC 13,8KV / ATERRAMENTO: NA / BLOQUEIO RL N/A / CRUZAMENTO DE LT/RD: N/A.</t>
      </text>
    </comment>
    <comment authorId="0" ref="BI42">
      <text>
        <t xml:space="preserve">01. QTD EQUIPES 01LM/ 02. AR U460544 - NAILTON SANTANA/ 03. RESP SUBST MRA252517 - LUCIANO NUNES DA SILVA / 04. R  MRA177595- DIOGO CRUZ DOS SANTOS ESP SUBST MRA554506- FABIANO LOPES MORAES / 05. RESP SUBST . 06. RESP SUBST .  07. RESP SUBST .MRA219559 - CAIQUE SILVA LIMA 08. RESP SUBST .NTS025538 - GILVANDO RIOS DA CRUZ 92 99521-6405 </t>
      </text>
    </comment>
    <comment authorId="0" ref="V43">
      <text>
        <t xml:space="preserve">ENCABEÇAR RD BT NO PG: D167768 E ENERGIZAR OBRA.
</t>
      </text>
    </comment>
    <comment authorId="0" ref="BA43">
      <text>
        <t xml:space="preserve">LM:
USAR EPI/EPC 13,8KV / ATERRAMENTO: NA / BLOQUEIO RL N/A / CRUZAMENTO DE LT/RD: N/A.</t>
      </text>
    </comment>
    <comment authorId="0" ref="BI43">
      <text>
        <t xml:space="preserve">01. QTD EQUIPES 01LM/ 02. AR U460544 - NAILTON SANTANA/ 03. RESP SUBST MRA252517 - LUCIANO NUNES DA SILVA / 04. R  MRA177595- DIOGO CRUZ DOS SANTOS ESP SUBST MRA554506- FABIANO LOPES MORAES / 05. RESP SUBST . 06. RESP SUBST .  07. RESP SUBST .MRA219559 - CAIQUE SILVA LIMA 08. RESP SUBST .NTS025538 - GILVANDO RIOS DA CRUZ 92 99521-6405 </t>
      </text>
    </comment>
    <comment authorId="0" ref="S44">
      <text>
        <t xml:space="preserve">INTERCALAR POSTE AT COM N1-3 ENTRE OS PG: D188998 - D188999, FECHAR CHAVE NOVA PRÓXIMO AO PG: D188998 E ENERGIZAR OBRA.
</t>
      </text>
    </comment>
    <comment authorId="0" ref="V44">
      <text>
        <t xml:space="preserve">FECHAR CHAVE NOVA PRÓXIMO AO PG: D188998 E ENERGIZAR OBRA.</t>
      </text>
    </comment>
    <comment authorId="0" ref="BA44">
      <text>
        <t xml:space="preserve">LV:
USAR EPI/EPC 13,8KV / SOLICITAR BLOQUEIO DO RL XXXX  / CRUZAMENTO DE LT/RD: N/A. 
LM:
USAR EPI/EPC 13,8KV / ATERRAMENTO: NA / BLOQUEIO RL N/A / CRUZAMENTO DE LT/RD: N/A.</t>
      </text>
    </comment>
    <comment authorId="0" ref="BI44">
      <text>
        <t xml:space="preserve">LV - JACOBINA
01. QTD EQUIPES 01 LV / 01 LM/ 02. AR U471407 - ANDERSON ROBERTO/ 03. SUBST MRA370581 - PATRICIO DA SILVA BARBOSA 92 991473742/ 04. SUBST NTS884580 - CARLOS ANDRE SANTOS DA SILVA/ 05. SUBST .NTS333599 - JUCELINO DOS SANTOS  06. SUBST .MRA811574- JAILTON DA SILVA 07.  SUBST .MRA738523 - JULIO SERAFIM DAMACENO 08. SUBST .MRA152590 - EMERSON DE CARVALHO  09. SUBST .MRA148601- CLEBSON REIS NETO
 ETEMILSON: OBS: MAIOR QUE 5 ENCARREGADO, DEFINIR 
LM JACOBINA:
01. QTD EQUIPE 01LM/ 02. AR U460544 - NAILTON SANTANA/ 03. SUBS MRA148601- CLEBSON REIS NETO/ 04. SUBS MRA666519-DOUGLAS DA SILVA MELO/ 05. SUBST .MRA571535-GERALDO DA COSTA GOMES 06.SUBS MRA811574- JAILTON DA SILVA  07. MRA096553-RODRIGO STS. SILVA 08. SUBS.MRA738523 - JULIO SERAFIM DAMACENO 09. MRA152590 - EMERSON DE CARVALHO  10.  .MRA258541- CARLOS CRUZ SANTANA 11.NTS219592 - JAIR DE JESUS </t>
      </text>
    </comment>
    <comment authorId="0" ref="S45">
      <text>
        <t xml:space="preserve">INTERCALAR POSTE AT COM N1-3 ENTRE OS PG: D548039 - D548038, FECHAR CHAVE NOVA PRÓXIMO AO PG: D548038 E ENERGIZAR OBRA.
</t>
      </text>
    </comment>
    <comment authorId="0" ref="V45">
      <text>
        <t xml:space="preserve">FECHAR CHAVE NOVA PRÓXIMO AO PG: D548038 E ENERGIZAR OBRA.</t>
      </text>
    </comment>
    <comment authorId="0" ref="BA45">
      <text>
        <t xml:space="preserve">LV:
USAR EPI/EPC 13,8KV / SOLICITAR BLOQUEIO DO RL XXXX  / CRUZAMENTO DE LT/RD: N/A. 
LM:
USAR EPI/EPC 13,8KV / ATERRAMENTO: NA / BLOQUEIO RL N/A / CRUZAMENTO DE LT/RD: N/A.</t>
      </text>
    </comment>
    <comment authorId="0" ref="BI45">
      <text>
        <t xml:space="preserve">LV - JACOBINA
01. QTD EQUIPES 01 LV / 01 LM/ 02. AR U460544 - NAILTON SANTANA/ 03. SUBST MRA370581 - PATRICIO DA SILVA BARBOSA 92 991473742/ 04. SUBST NTS884580 - CARLOS ANDRE SANTOS DA SILVA/ 05. SUBST .NTS333599 - JUCELINO DOS SANTOS  06. SUBST .MRA252517 - LUCIANO NUNES DA SILVA  07.  SUBST .MRA554506- FABIANO LOPES MORAES  08. SUBST .MRA219559 - CAIQUE SILVA LIMA 09. SUBST . MRA177595- DIOGO CRUZ DOS SANTOS
GILVANDO:
LM JACOBINA:
01. QTD EQUIPES 01LM/ 02. AR U460544 - NAILTON SANTANA/ 03. RESP SUBST MRA252517 - LUCIANO NUNES DA SILVA / 04. R  MRA177595- DIOGO CRUZ DOS SANTOS ESP SUBST MRA554506- FABIANO LOPES MORAES / 05. RESP SUBST . 06. RESP SUBST .  07. RESP SUBST .MRA219559 - CAIQUE SILVA LIMA 08. RESP SUBST .NTS025538 - GILVANDO RIOS DA CRUZ 92 99521-6405 </t>
      </text>
    </comment>
    <comment authorId="0" ref="S46">
      <text>
        <t xml:space="preserve">ALTERAR ESTRUTURA DE M3 P/ B4 NO PG: D057604, FECHAR CHAVE NOVA PRÓXIMO AO PG: D057604 E ENERGIZAR OBRA.</t>
      </text>
    </comment>
    <comment authorId="0" ref="BA46">
      <text>
        <t xml:space="preserve">LV:
USAR EPI/EPC 13,8KV / SOLICITAR BLOQUEIO DO RL XXXX  / CRUZAMENTO DE LT/RD: N/A. 
LM:
USAR EPI/EPC 13,8KV / ATERRAMENTO: NA / BLOQUEIO RL N/A / CRUZAMENTO DE LT/RD: N/A.</t>
      </text>
    </comment>
    <comment authorId="0" ref="BI46">
      <text>
        <t xml:space="preserve">LV - JACOBINA
01. QTD EQUIPES 01 LV / 01 LM/ 02. AR U471407 - ANDERSON ROBERTO/ 03. SUBST NTS27946 - PATRICIO DA SILVA BARBOSA 92 991473742/ 04. SUBST NTS884580 - CARLOS ANDRE SANTOS DA SILVA/ 05. SUBST .NTS333599 - JUCELINO DOS SANTOS  06. SUBST .NTS571535-GERALDO DA COSTA GOMES 07.  SUBST .NTS152590 - EMERSON DE CARVALHO  08. SUBST .NTS811574- JAILTON DA SILVA 09. SUBST .NTS258541 - CARLOS CRUZ SANTANA
 ETEMILSON: OBS: MAIOR QUE 5 ENCARREGADO, DEFINIR 
LM JACOBINA:
01. QTD EQUIPE 01LM/ 02. AR U471407 - ANDERSON ROBERTO/ 03. SUBST NTS148601- CLEBSON REIS NETO/ 04. SUBST NTS666519-DOUGLAS DA SILVA MELO/ 05. SUBST .NTS571535-GERALDO DA COSTA GOMES 06.SUBST.NTS811574- JAILTON DA SILVA  07. SUBST .NTS096553-RODRIGO STS. SILVA 08. SUBST .NTS738523 - JULIO SERAFIM DAMACENO 09. SUBST NTS152590 - EMERSON DE CARVALHO  10. SUBST .NTS258541 - CARLOS CRUZ SANTANA </t>
      </text>
    </comment>
    <comment authorId="0" ref="X47">
      <text>
        <t xml:space="preserve">ABRIR CHVE TRAFO: XXX PARA SUBSTITUIR POSTE BT NO PG: L381071, ENCABEÇAR RD BT NO MESMO E ENERGIZAR OBRA. </t>
      </text>
    </comment>
    <comment authorId="0" ref="BA47">
      <text>
        <t xml:space="preserve">LM:
USAR EPI/EPC 13,8KV / ATERRAMENTO: NA / BLOQUEIO RL N/A / CRUZAMENTO DE LT/RD: N/A.</t>
      </text>
    </comment>
    <comment authorId="0" ref="S48">
      <text>
        <t xml:space="preserve">INTERCALAR POSTE AT COM N4-3 ENTRE OS PG: L431050 - L431049, FECHAR CHAVE NOVA PRÓXIMO AO PG: L431049 E ENERGIZAR OBRA.
</t>
      </text>
    </comment>
    <comment authorId="0" ref="V48">
      <text>
        <t xml:space="preserve">FECHAR CHAVE NOVA PRÓXIMO AO PG: L431049 E ENERGIZAR OBRA.</t>
      </text>
    </comment>
    <comment authorId="0" ref="BA48">
      <text>
        <t xml:space="preserve">LV:
USAR EPI/EPC 13,8KV / SOLICITAR BLOQUEIO DO RL XXXX  / CRUZAMENTO DE LT/RD: N/A. 
LM:
USAR EPI/EPC 13,8KV / ATERRAMENTO: NA / BLOQUEIO RL N/A / CRUZAMENTO DE LT/RD: N/A.</t>
      </text>
    </comment>
    <comment authorId="0" ref="BI48">
      <text>
        <t xml:space="preserve">LV - JACOBINA
01. QTD EQUIPES 01 LV / 01 LM/ 02. AR U471407 - ANDERSON ROBERTO/ 03. SUBST MRA370581 - PATRICIO DA SILVA BARBOSA 92 991473742/ 04. SUBST NTS884580 - CARLOS ANDRE SANTOS DA SILVA/ 05. SUBST .NTS333599 - JUCELINO DOS SANTOS  06. SUBST .MRA811574- JAILTON DA SILVA 07.  SUBST .MRA738523 - JULIO SERAFIM DAMACENO 08. SUBST .MRA152590 - EMERSON DE CARVALHO  09. SUBST .MRA148601- CLEBSON REIS NETO
 ETEMILSON: OBS: MAIOR QUE 5 ENCARREGADO, DEFINIR 
LM JACOBINA:
01. QTD EQUIPE 01LM/ 02. AR U460544 - NAILTON SANTANA/ 03. SUBS MRA148601- CLEBSON REIS NETO/ 04. SUBS MRA666519-DOUGLAS DA SILVA MELO/ 05. SUBST .MRA571535-GERALDO DA COSTA GOMES 06.SUBS MRA811574- JAILTON DA SILVA  07. MRA096553-RODRIGO STS. SILVA 08. SUBS.MRA738523 - JULIO SERAFIM DAMACENO 09. MRA152590 - EMERSON DE CARVALHO  10.  .MRA258541- CARLOS CRUZ SANTANA 11.NTS219592 - JAIR DE JESUS </t>
      </text>
    </comment>
    <comment authorId="0" ref="V49">
      <text>
        <t xml:space="preserve">INTECALAR POSTE BT ENTRE OS PG: B913924 - R214260 E ENERGIZAR OBRA.</t>
      </text>
    </comment>
    <comment authorId="0" ref="X49">
      <text>
        <t xml:space="preserve">INTECALAR POSTE BT ENTRE OS PG: B913924 - R214260 E ENERGIZAR OBRA.</t>
      </text>
    </comment>
    <comment authorId="0" ref="BA49">
      <text>
        <t xml:space="preserve">LM:
USAR EPI/EPC 13,8KV / ATERRAMENTO: NA / BLOQUEIO RL N/A / CRUZAMENTO DE LT/RD: N/A.</t>
      </text>
    </comment>
    <comment authorId="0" ref="BI49">
      <text>
        <t xml:space="preserve">01. QTD EQUIPE 01LM/ 02. AR U465100 - RICARDO BRITO/ 03. SUB.MRA148601- CLEBSON REIS NETO/ 04. SUB. MRA666519-DOUGLAS DA SILVA MELO/ 05. SUB .MRA571535-GERALDO DA COSTA GOMES 06.SUB.MRA811574- JAILTON DA SILVA  07. SUB..MRA096553-RODRIGO STS. SILVA 08. SUB.MRA738523 - JULIO SERAFIM DAMACENO 09. MRA152590 - EMERSON DE CARVALHO  10.  .MRA258541- CARLOS CRUZ SANTANA 11.NTS219592 - JAIR DE JESUS </t>
      </text>
    </comment>
    <comment authorId="0" ref="S50">
      <text>
        <t xml:space="preserve">INTERCALAR POSTE AT COM N1 E TRAFO ENTRE OS PG: D022488 - D022240, FECHAR CHAVE NOVA PRÓXIMO AO PG: D022488 E ENERGIZAR OBRA.
</t>
      </text>
    </comment>
    <comment authorId="0" ref="V50">
      <text>
        <t xml:space="preserve">FECHAR CHAVE NOVA PRÓXIMO AO PG: D022488 E ENERGIZAR OBRA.</t>
      </text>
    </comment>
    <comment authorId="0" ref="BA50">
      <text>
        <t xml:space="preserve">LV:
USAR EPI/EPC 13,8KV / SOLICITAR BLOQUEIO DO RL XXXX  / CRUZAMENTO DE LT/RD: N/A. 
LM:
USAR EPI/EPC 13,8KV / ATERRAMENTO: NA / BLOQUEIO RL N/A / CRUZAMENTO DE LT/RD: N/A.</t>
      </text>
    </comment>
    <comment authorId="0" ref="BI50">
      <text>
        <t xml:space="preserve">LV - JACOBINA
01. QTD EQUIPES 01 LV / 01 LM/ 02. AR U471407 - ANDERSON ROBERTO/ 03. SUBST MRA370581 - PATRICIO DA SILVA BARBOSA 92 991473742/ 04. SUBST NTS884580 - CARLOS ANDRE SANTOS DA SILVA/ 05. SUBST .NTS333599 - JUCELINO DOS SANTOS  06. SUBST .MRA811574- JAILTON DA SILVA 07.  SUBST .MRA738523 - JULIO SERAFIM DAMACENO 08. SUBST .MRA152590 - EMERSON DE CARVALHO  09. SUBST .MRA148601- CLEBSON REIS NETO
 ETEMILSON: OBS: MAIOR QUE 5 ENCARREGADO, DEFINIR 
LM JACOBINA:
01. QTD EQUIPE 01LM/ 02. AR U460544 - NAILTON SANTANA/ 03. SUBS MRA148601- CLEBSON REIS NETO/ 04. SUBS MRA666519-DOUGLAS DA SILVA MELO/ 05. SUBST .MRA571535-GERALDO DA COSTA GOMES 06.SUBS MRA811574- JAILTON DA SILVA  07. MRA096553-RODRIGO STS. SILVA 08. SUBS.MRA738523 - JULIO SERAFIM DAMACENO 09. MRA152590 - EMERSON DE CARVALHO  10.  .MRA258541- CARLOS CRUZ SANTANA 11.NTS219592 - JAIR DE JESUS </t>
      </text>
    </comment>
    <comment authorId="0" ref="V51">
      <text>
        <t xml:space="preserve">INTECALAR POSTE BT ENTRE OS PG: D033262 - D063264 E ENERGIZAR OBRA.</t>
      </text>
    </comment>
    <comment authorId="0" ref="BA51">
      <text>
        <t xml:space="preserve">LM:
USAR EPI/EPC 13,8KV / ATERRAMENTO: NA / BLOQUEIO RL N/A / CRUZAMENTO DE LT/RD: N/A.</t>
      </text>
    </comment>
    <comment authorId="0" ref="BI51">
      <text>
        <t xml:space="preserve"> ETEMILSON: OBS: MAIOR QUE 5 ENCARREGADO, DEFINIR 
LM JACOBINA:
01. QTD EQUIPE 01LM/ 02. AR U460544 - NAILTON SANTANA/ 03. SUBS MRA148601- CLEBSON REIS NETO/ 04. SUBS MRA666519-DOUGLAS DA SILVA MELO/ 05. SUBST .MRA571535-GERALDO DA COSTA GOMES 06.SUBS MRA811574- JAILTON DA SILVA  07. SUBST .MRA096553-RODRIGO STS. SILVA 08. SUBS.MRA738523 - JULIO SERAFIM DAMACENO 09. MRA152590 - EMERSON DE CARVALHO  10.  .MRA258541- CARLOS CRUZ SANTANA 11.NTS219592 - JAIR DE JESUS 
</t>
      </text>
    </comment>
    <comment authorId="0" ref="V52">
      <text>
        <t xml:space="preserve">ENCABEÇAR RD BT NO PG: D276750 E ENERGIZAR OBRA.
</t>
      </text>
    </comment>
    <comment authorId="0" ref="BA52">
      <text>
        <t xml:space="preserve">LM:
USAR EPI/EPC 13,8KV / ATERRAMENTO: NA / BLOQUEIO RL N/A / CRUZAMENTO DE LT/RD: N/A.</t>
      </text>
    </comment>
    <comment authorId="0" ref="BI52">
      <text>
        <t xml:space="preserve"> ETEMILSON: OBS: MAIOR QUE 5 ENCARREGADO, DEFINIR 
LM JACOBINA:
01. QTD EQUIPE 01LM/ 02. AR U460544 - NAILTON SANTANA/ 03. SUBS MRA148601- CLEBSON REIS NETO/ 04. SUBS MRA666519-DOUGLAS DA SILVA MELO/ 05. SUBST .MRA571535-GERALDO DA COSTA GOMES 06.SUBS MRA811574- JAILTON DA SILVA  07. SUBST .MRA096553-RODRIGO STS. SILVA 08. SUBS.MRA738523 - JULIO SERAFIM DAMACENO 09. MRA152590 - EMERSON DE CARVALHO  10.  .MRA258541- CARLOS CRUZ SANTANA 11.NTS219592 - JAIR DE JESUS 
</t>
      </text>
    </comment>
    <comment authorId="0" ref="S53">
      <text>
        <t xml:space="preserve">INTERCALAR POSTE AT COM N1 E TRAFO ENTRE OS PG: D517524 - D517523, FECHAR CHAVE NOVA PRÓXIMO AO PG: D517524  E ENERGIZAR OBRA.
</t>
      </text>
    </comment>
    <comment authorId="0" ref="V53">
      <text>
        <t xml:space="preserve">FECHAR CHAVE NOVA PRÓXIMO AO PG: D517524  E ENERGIZAR OBRA.</t>
      </text>
    </comment>
    <comment authorId="0" ref="BA53">
      <text>
        <t xml:space="preserve">LV:
USAR EPI/EPC 13,8KV / SOLICITAR BLOQUEIO DO RL XXXX  / CRUZAMENTO DE LT/RD: N/A. 
LM:
USAR EPI/EPC 13,8KV / ATERRAMENTO: NA / BLOQUEIO RL N/A / CRUZAMENTO DE LT/RD: N/A.</t>
      </text>
    </comment>
    <comment authorId="0" ref="BI53">
      <text>
        <t xml:space="preserve">LV - JACOBINA
01. QTD EQUIPES 01 LV / 01 LM/ 02. AR U471407 - ANDERSON ROBERTO/ 03. SUBST MRA370581 - PATRICIO DA SILVA BARBOSA 92 991473742/ 04. SUBST NTS884580 - CARLOS ANDRE SANTOS DA SILVA/ 05. SUBST .NTS333599 - JUCELINO DOS SANTOS  06. SUBST .MRA811574- JAILTON DA SILVA 07.  SUBST .MRA738523 - JULIO SERAFIM DAMACENO 08. SUBST .MRA152590 - EMERSON DE CARVALHO  09. SUBST .MRA148601- CLEBSON REIS NETO
 ETEMILSON: OBS: MAIOR QUE 5 ENCARREGADO, DEFINIR 
LM JACOBINA:
01. QTD EQUIPE 01LM/ 02. AR U460544 - NAILTON SANTANA/ 03. SUBS MRA148601- CLEBSON REIS NETO/ 04. SUBS MRA666519-DOUGLAS DA SILVA MELO/ 05. SUBST .MRA571535-GERALDO DA COSTA GOMES 06.SUBS MRA811574- JAILTON DA SILVA  07. MRA096553-RODRIGO STS. SILVA 08. SUBS.MRA738523 - JULIO SERAFIM DAMACENO 09. MRA152590 - EMERSON DE CARVALHO  10.  .MRA258541- CARLOS CRUZ SANTANA 11.NTS219592 - JAIR DE JESUS </t>
      </text>
    </comment>
    <comment authorId="0" ref="S54">
      <text>
        <t xml:space="preserve">VERIFICAR POSSIBILIDADE DE INTERCALAR 01 POSTE NOVO.</t>
      </text>
    </comment>
    <comment authorId="0" ref="U54">
      <text>
        <t xml:space="preserve">SUBSTITUIR POSTES BT POR AT DO PG: D039263 AO D039259 E ENERGIZAR OBRA.
</t>
      </text>
    </comment>
    <comment authorId="0" ref="V54">
      <text>
        <t xml:space="preserve">FECHAR CHAVE NOVA PRÓXIMO AO PG: D039264 E ENERGIZAR OBRA.
</t>
      </text>
    </comment>
    <comment authorId="0" ref="X54">
      <text>
        <t xml:space="preserve">ABRIR CHAVE TRAFO: XXX PARA LV SUBSTITUIR POSTE AT NO PG: L431613 E ENERGIZAR OBRA. </t>
      </text>
    </comment>
    <comment authorId="0" ref="BA54">
      <text>
        <t xml:space="preserve">LV:
USAR EPI/EPC 13,8KV / SOLICITAR BLOQUEIO DO RL XXXX  / CRUZAMENTO DE LT/RD: N/A. 
LM:
USAR EPI/EPC 13,8KV / ATERRAMENTO: NA / BLOQUEIO RL N/A / CRUZAMENTO DE LT/RD: N/A.</t>
      </text>
    </comment>
    <comment authorId="0" ref="BI54">
      <text>
        <t xml:space="preserve">LV - JACOBINA
01. QTD EQUIPES 01 LV / 01 LM/ 02. AR U471407 - ANDERSON ROBERTO/ 03. SUBST MRA370581 - PATRICIO DA SILVA BARBOSA 92 991473742/ 04. SUBST NTS884580 - CARLOS ANDRE SANTOS DA SILVA/ 05. SUBST .NTS333599 - JUCELINO DOS SANTOS  06. SUBST .MRA811574- JAILTON DA SILVA 07.  SUBST .MRA738523 - JULIO SERAFIM DAMACENO 08. SUBST .MRA152590 - EMERSON DE CARVALHO  09. SUBST .MRA148601- CLEBSON REIS NETO
 ETEMILSON: OBS: MAIOR QUE 5 ENCARREGADO, DEFINIR 
LM JACOBINA:
01. QTD EQUIPE 01LM/ 02. AR U460544 - NAILTON SANTANA/ 03. SUBS MRA148601- CLEBSON REIS NETO/ 04. SUBS MRA666519-DOUGLAS DA SILVA MELO/ 05. SUBST .MRA571535-GERALDO DA COSTA GOMES 06.SUBS MRA811574- JAILTON DA SILVA  07. MRA096553-RODRIGO STS. SILVA 08. SUBS.MRA738523 - JULIO SERAFIM DAMACENO 09. MRA152590 - EMERSON DE CARVALHO  10.  .MRA258541- CARLOS CRUZ SANTANA 11.NTS219592 - JAIR DE JESUS </t>
      </text>
    </comment>
    <comment authorId="0" ref="S55">
      <text>
        <t xml:space="preserve">ALTERAR ESTRUTURA DE N3 P/ N4 NO PG: D149460, FECHAR CHAVE NOVA PRÓXIMO AO PG: D149460 E ENERGIZAR OBRA.</t>
      </text>
    </comment>
    <comment authorId="0" ref="U55">
      <text>
        <t xml:space="preserve">INTERCALAR 02 POSTES AT EM REDE MULTIPLEXADA ENTRE OS PG: D149499 - D149460, D149464 - D149491 E ENERGIZAR OBRA.</t>
      </text>
    </comment>
    <comment authorId="0" ref="BA55">
      <text>
        <t xml:space="preserve">LV:
USAR EPI/EPC 13,8KV / SOLICITAR BLOQUEIO DO RL XXXX  / CRUZAMENTO DE LT/RD: N/A. 
LM:
USAR EPI/EPC 13,8KV / ATERRAMENTO: NA / BLOQUEIO RL N/A / CRUZAMENTO DE LT/RD: N/A.</t>
      </text>
    </comment>
    <comment authorId="0" ref="BI55">
      <text>
        <t xml:space="preserve">LV - JACOBINA
01. QTD EQUIPES 01 LV / 01 LM/ 02. AR U460544 - NAILTON SANTANA/ 03. SUBST NTS27946 - PATRICIO DA SILVA BARBOSA 92 991473742/ 04. SUBST NTS884580 - CARLOS ANDRE SANTOS DA SILVA/ 05. SUBST .NTS333599 - JUCELINO DOS SANTOS  06. SUBST .NTS738523 - JULIO SERAFIM DAMACENO 07.  SUBST .NTS666519-DOUGLAS DA SILVA MELO 08. SUBST .NTS096553-RODRIGO STS. SILVA 09. SUBST .NTS148601- CLEBSON REIS NETO
 ETEMILSON: OBS: MAIOR QUE 5 ENCARREGADO, DEFINIR 
LM JACOBINA:
01. QTD EQUIPE 01LM/ 02. AR U460544 - NAILTON SANTANA/ 03. SUBST NTS148601- CLEBSON REIS NETO/ 04. SUBST NTS666519-DOUGLAS DA SILVA MELO/ 05. SUBST .NTS571535-GERALDO DA COSTA GOMES 06.SUBST.NTS811574- JAILTON DA SILVA  07. SUBST .NTS096553-RODRIGO STS. SILVA 08. SUBST .NTS738523 - JULIO SERAFIM DAMACENO 09. SUBST NTS152590 - EMERSON DE CARVALHO  10. SUBST .NTS258541 - CARLOS CRUZ SANTANA </t>
      </text>
    </comment>
    <comment authorId="0" ref="S56">
      <text>
        <t xml:space="preserve">MONTAR BANCADA COM N3 NO POSTE PRÓXIMO AO PG: R214285, ALTERAR ESTRUTURA DE N3 P/ N4 NO PG: R214271 E ENERGIZAR OBRA.</t>
      </text>
    </comment>
    <comment authorId="0" ref="X56">
      <text>
        <t xml:space="preserve">ABRIR CHAVE TRAFO: J18357 PARA  SUBSTITUIR POSTES BT POR AT DO PG: R214270 AO R214263 SUBSTITUIR RD BT ENTRE OS MESMOS E ENERGIZAR OBRA.</t>
      </text>
    </comment>
    <comment authorId="0" ref="BA56">
      <text>
        <t xml:space="preserve">LV:
USAR EPI/EPC 13,8KV / SOLICITAR BLOQUEIO DO RL XXXX  / CRUZAMENTO DE LT/RD: N/A. 
LM:
USAR EPI/EPC 13,8KV / ATERRAMENTO: NA / BLOQUEIO RL N/A / CRUZAMENTO DE LT/RD: N/A.</t>
      </text>
    </comment>
    <comment authorId="0" ref="BI56">
      <text>
        <t xml:space="preserve">LV - JACOBINA
01. QTD EQUIPES 01 LV / 01 LM/ 02. AR U460544 - NAILTON SANTANA/ 03. SUBST NTS27946 - PATRICIO DA SILVA BARBOSA 92 991473742/ 04. SUBST NTS884580 - CARLOS ANDRE SANTOS DA SILVA/ 05. SUBST .NTS333599 - JUCELINO DOS SANTOS  06. SUBST .NTS738523 - JULIO SERAFIM DAMACENO 07.  SUBST .NTS666519-DOUGLAS DA SILVA MELO 08. SUBST .NTS096553-RODRIGO STS. SILVA 09. SUBST .NTS148601- CLEBSON REIS NETO
 ETEMILSON: OBS: MAIOR QUE 5 ENCARREGADO, DEFINIR 
LM JACOBINA:
01. QTD EQUIPE 01LM/ 02. AR U460544 - NAILTON SANTANA/ 03. SUBST NTS148601- CLEBSON REIS NETO/ 04. SUBST NTS666519-DOUGLAS DA SILVA MELO/ 05. SUBST .NTS571535-GERALDO DA COSTA GOMES 06.SUBST.NTS811574- JAILTON DA SILVA  07. SUBST .NTS096553-RODRIGO STS. SILVA 08. SUBST .NTS738523 - JULIO SERAFIM DAMACENO 09. SUBST NTS152590 - EMERSON DE CARVALHO  10. SUBST .NTS258541 - CARLOS CRUZ SANTANA </t>
      </text>
    </comment>
    <comment authorId="0" ref="S57">
      <text>
        <t xml:space="preserve">ALTERAR ESTRUTURA DE B3 P/ B4 NO PG: D219943, FECHAR CHAVE NOVA PRÓXIMO AO PG: D219943 E ENERGIZAR OBRA.
</t>
      </text>
    </comment>
    <comment authorId="0" ref="U57">
      <text>
        <t xml:space="preserve">SUBSTITUIR POSTES BT POR AT DO PG: R214213 AO R214212 E ENERGIZAR OBRA.</t>
      </text>
    </comment>
    <comment authorId="0" ref="BA57">
      <text>
        <t xml:space="preserve">LV:
USAR EPI/EPC 13,8KV / SOLICITAR BLOQUEIO DO RL XXXX  / CRUZAMENTO DE LT/RD: N/A. 
LM:
USAR EPI/EPC 13,8KV / ATERRAMENTO: NA / BLOQUEIO RL N/A / CRUZAMENTO DE LT/RD: N/A.</t>
      </text>
    </comment>
    <comment authorId="0" ref="BI57">
      <text>
        <t xml:space="preserve">LV - JACOBINA
01. QTD EQUIPES 01 LV / 01 LM/ 02. AR U460544 - NAILTON SANTANA/ 03. SUBST NTS27946 - PATRICIO DA SILVA BARBOSA 92 991473742/ 04. SUBST NTS884580 - CARLOS ANDRE SANTOS DA SILVA/ 05. SUBST .NTS333599 - JUCELINO DOS SANTOS  06. SUBST .NTS738523 - JULIO SERAFIM DAMACENO 07.  SUBST .NTS666519-DOUGLAS DA SILVA MELO 08. SUBST .NTS096553-RODRIGO STS. SILVA 09. SUBST .NTS148601- CLEBSON REIS NETO
 ETEMILSON: OBS: MAIOR QUE 5 ENCARREGADO, DEFINIR 
LM JACOBINA:
01. QTD EQUIPE 01LM/ 02. AR U460544 - NAILTON SANTANA/ 03. SUBST NTS148601- CLEBSON REIS NETO/ 04. SUBST NTS666519-DOUGLAS DA SILVA MELO/ 05. SUBST .NTS571535-GERALDO DA COSTA GOMES 06.SUBST.NTS811574- JAILTON DA SILVA  07. SUBST .NTS096553-RODRIGO STS. SILVA 08. SUBST .NTS738523 - JULIO SERAFIM DAMACENO 09. SUBST NTS152590 - EMERSON DE CARVALHO  10. SUBST .NTS258541 - CARLOS CRUZ SANTANA </t>
      </text>
    </comment>
    <comment authorId="0" ref="S58">
      <text>
        <t xml:space="preserve">MONTAR BANCADA COM N3 NO PG: D304965, FECHAR CHAVE NOVA PRÓXIMO AO PG: D304965 E ENERGIZAR OBRA.</t>
      </text>
    </comment>
    <comment authorId="0" ref="U58">
      <text>
        <t xml:space="preserve">SUBSTITUIR POSTE BT POR AT NO PG: D304966 E ENERGIZAR OBRA.</t>
      </text>
    </comment>
    <comment authorId="0" ref="BA58">
      <text>
        <t xml:space="preserve">LV:
USAR EPI/EPC 13,8KV / SOLICITAR BLOQUEIO DO RL XXXX  / CRUZAMENTO DE LT/RD: N/A. 
LM:
USAR EPI/EPC 13,8KV / ATERRAMENTO: NA / BLOQUEIO RL N/A / CRUZAMENTO DE LT/RD: N/A.</t>
      </text>
    </comment>
    <comment authorId="0" ref="BI58">
      <text>
        <t xml:space="preserve">LV - JACOBINA
01. QTD EQUIPES 01 LV / 01 LM/ 02. AR U460544 - NAILTON SANTANA/ 03. SUBST NTS27946 - PATRICIO DA SILVA BARBOSA 92 991473742/ 04. SUBST NTS884580 - CARLOS ANDRE SANTOS DA SILVA/ 05. SUBST .NTS333599 - JUCELINO DOS SANTOS  06. SUBST .NTS738523 - JULIO SERAFIM DAMACENO 07.  SUBST .NTS666519-DOUGLAS DA SILVA MELO 08. SUBST .NTS096553-RODRIGO STS. SILVA 09. SUBST .NTS148601- CLEBSON REIS NETO
 ETEMILSON: OBS: MAIOR QUE 5 ENCARREGADO, DEFINIR 
LM JACOBINA:
01. QTD EQUIPE 01LM/ 02. AR U460544 - NAILTON SANTANA/ 03. SUBST NTS148601- CLEBSON REIS NETO/ 04. SUBST NTS666519-DOUGLAS DA SILVA MELO/ 05. SUBST .NTS571535-GERALDO DA COSTA GOMES 06.SUBST.NTS811574- JAILTON DA SILVA  07. SUBST .NTS096553-RODRIGO STS. SILVA 08. SUBST .NTS738523 - JULIO SERAFIM DAMACENO 09. SUBST NTS152590 - EMERSON DE CARVALHO  10. SUBST .NTS258541 - CARLOS CRUZ SANTANA </t>
      </text>
    </comment>
    <comment authorId="0" ref="S59">
      <text>
        <t xml:space="preserve">INTERCALAR POSTE AT COM N1 E TRAFO ENTRE OS PG: B557739 - B557740, FECHAR CHAVE NOVA PRÓXIMO AO PG: B557740 E ENERGIZAR OBRA.
</t>
      </text>
    </comment>
    <comment authorId="0" ref="BA59">
      <text>
        <t xml:space="preserve">LV:
USAR EPI/EPC 13,8KV / SOLICITAR BLOQUEIO DO RL XXXX  / CRUZAMENTO DE LT/RD: N/A. 
LM:
USAR EPI/EPC 13,8KV / ATERRAMENTO: NA / BLOQUEIO RL N/A / CRUZAMENTO DE LT/RD: N/A.
</t>
      </text>
    </comment>
    <comment authorId="0" ref="BI59">
      <text>
        <t xml:space="preserve">LV - JACOBINA
01. QTD EQUIPES 01 LV / 01 LM/ 02. AR U471407 - ANDERSON ROBERTO/ 03. SUBST NTS27946 - PATRICIO DA SILVA BARBOSA 92 991473742/ 04. SUBST NTS884580 - CARLOS ANDRE SANTOS DA SILVA/ 05. SUBST .NTS333599 - JUCELINO DOS SANTOS  06. SUBST .NTS252517 - LUCIANO NUNES DA SILVA  07.  SUBST .NTS554506 - FABIANO LOPES MORAES  08. SUBST .NTS177595 - DIOGO CRUZ DOS SANTOS 09. SUBST .NTS219559 - CAIQUE SILVA LIMA
GILVANDO:
LM JACOBINA:
01. QTD EQUIPES 01LM/ 02. RESP COELBA U471407 - ANDERSON ROBERTO/ 03. RESP SUBST NTS252517 - LUCIANO NUNES DA SILVA / 04. R NTS177595 - DIOGO CRUZ DOS SANTOS ESP SUBST NTS554506 - FABIANO LOPES MORAES / 05. RESP SUBST . 06. RESP SUBST .  07. RESP SUBST .NTS219559 - CAIQUE SILVA LIMA 08. RESP SUBST .NTS025538 - GILVANDO RIOS DA CRUZ 92 99521-6405 </t>
      </text>
    </comment>
    <comment authorId="0" ref="S60">
      <text>
        <t xml:space="preserve">INTERCALAR POSTE AT COM N1 E TRAFO ENTRE OS PG: E666921 - E666922, FECHAR CHAVE NOVA PRÓXIMO AO PG: E666921  E ENERGIZAR OBRA.
</t>
      </text>
    </comment>
    <comment authorId="0" ref="BA60">
      <text>
        <t xml:space="preserve">LV:
USAR EPI/EPC 13,8KV / SOLICITAR BLOQUEIO DO RL XXXX  / CRUZAMENTO DE LT/RD: N/A. 
LM:
USAR EPI/EPC 13,8KV / ATERRAMENTO: NA / BLOQUEIO RL N/A / CRUZAMENTO DE LT/RD: N/A.
</t>
      </text>
    </comment>
    <comment authorId="0" ref="BI60">
      <text>
        <t xml:space="preserve">LV - JACOBINA
01. QTD EQUIPES 01 LV / 01 LM/ 02. AR U471407 - ANDERSON ROBERTO/ 03. SUBST NTS27946 - PATRICIO DA SILVA BARBOSA 92 991473742/ 04. SUBST NTS884580 - CARLOS ANDRE SANTOS DA SILVA/ 05. SUBST .NTS333599 - JUCELINO DOS SANTOS  06. SUBST .NTS252517 - LUCIANO NUNES DA SILVA  07.  SUBST .NTS554506 - FABIANO LOPES MORAES  08. SUBST .NTS177595 - DIOGO CRUZ DOS SANTOS 09. SUBST .NTS219559 - CAIQUE SILVA LIMA
GILVANDO:
LM JACOBINA:
01. QTD EQUIPES 01LM/ 02. RESP COELBA U471407 - ANDERSON ROBERTO/ 03. RESP SUBST NTS252517 - LUCIANO NUNES DA SILVA / 04. R NTS177595 - DIOGO CRUZ DOS SANTOS ESP SUBST NTS554506 - FABIANO LOPES MORAES / 05. RESP SUBST . 06. RESP SUBST .  07. RESP SUBST .NTS219559 - CAIQUE SILVA LIMA 08. RESP SUBST .NTS025538 - GILVANDO RIOS DA CRUZ 92 99521-6405 </t>
      </text>
    </comment>
    <comment authorId="0" ref="S61">
      <text>
        <t xml:space="preserve">INTERCALAR POSTE AT COM N1 E TRAFO ENTRE OS PG: R015828 - R015829, FECHAR CHAVE NOVA PRÓXIMO AO PG: R015829 E ENERGIZAR OBRA.
</t>
      </text>
    </comment>
    <comment authorId="0" ref="BA61">
      <text>
        <t xml:space="preserve">LV:
USAR EPI/EPC 13,8KV / SOLICITAR BLOQUEIO DO RL XXXX  / CRUZAMENTO DE LT/RD: N/A. 
LM:
USAR EPI/EPC 13,8KV / ATERRAMENTO: NA / BLOQUEIO RL N/A / CRUZAMENTO DE LT/RD: N/A.
</t>
      </text>
    </comment>
    <comment authorId="0" ref="BI61">
      <text>
        <t xml:space="preserve">LV - JACOBINA
01. QTD EQUIPES 01 LV / 01 LM/ 02. AR U471407 - ANDERSON ROBERTO/ 03. SUBST NTS27946 - PATRICIO DA SILVA BARBOSA 92 991473742/ 04. SUBST NTS884580 - CARLOS ANDRE SANTOS DA SILVA/ 05. SUBST .NTS333599 - JUCELINO DOS SANTOS  06. SUBST .NTS252517 - LUCIANO NUNES DA SILVA  07.  SUBST .NTS554506 - FABIANO LOPES MORAES  08. SUBST .NTS177595 - DIOGO CRUZ DOS SANTOS 09. SUBST .NTS219559 - CAIQUE SILVA LIMA
GILVANDO:
LM JACOBINA:
01. QTD EQUIPES 01LM/ 02. RESP COELBA U471407 - ANDERSON ROBERTO/ 03. RESP SUBST NTS252517 - LUCIANO NUNES DA SILVA / 04. R NTS177595 - DIOGO CRUZ DOS SANTOS ESP SUBST NTS554506 - FABIANO LOPES MORAES / 05. RESP SUBST . 06. RESP SUBST .  07. RESP SUBST .NTS219559 - CAIQUE SILVA LIMA 08. RESP SUBST .NTS025538 - GILVANDO RIOS DA CRUZ 92 99521-6405 </t>
      </text>
    </comment>
    <comment authorId="0" ref="S62">
      <text>
        <t xml:space="preserve">INTERCALAR POSTE AT COM N1 E TRAFO ENTRE OS PG: D055539 - D055540, FECHAR CHAVE NOVA PRÓXIMO AO PG: D055539  E ENERGIZAR OBRA.
</t>
      </text>
    </comment>
    <comment authorId="0" ref="BA62">
      <text>
        <t xml:space="preserve">LV:
USAR EPI/EPC 13,8KV / SOLICITAR BLOQUEIO DO RL XXXX  / CRUZAMENTO DE LT/RD: N/A. 
LM:
USAR EPI/EPC 13,8KV / ATERRAMENTO: NA / BLOQUEIO RL N/A / CRUZAMENTO DE LT/RD: N/A.
</t>
      </text>
    </comment>
    <comment authorId="0" ref="BI62">
      <text>
        <t xml:space="preserve">LV - JACOBINA
01. QTD EQUIPES 01 LV / 01 LM/ 02. AR U471407 - ANDERSON ROBERTO/ 03. SUBST NTS27946 - PATRICIO DA SILVA BARBOSA 92 991473742/ 04. SUBST NTS884580 - CARLOS ANDRE SANTOS DA SILVA/ 05. SUBST .NTS333599 - JUCELINO DOS SANTOS  06. SUBST .NTS252517 - LUCIANO NUNES DA SILVA  07.  SUBST .NTS554506 - FABIANO LOPES MORAES  08. SUBST .NTS177595 - DIOGO CRUZ DOS SANTOS 09. SUBST .NTS219559 - CAIQUE SILVA LIMA
GILVANDO:
LM JACOBINA:
01. QTD EQUIPES 01LM/ 02. RESP COELBA U471407 - ANDERSON ROBERTO/ 03. RESP SUBST NTS252517 - LUCIANO NUNES DA SILVA / 04. R NTS177595 - DIOGO CRUZ DOS SANTOS ESP SUBST NTS554506 - FABIANO LOPES MORAES / 05. RESP SUBST . 06. RESP SUBST .  07. RESP SUBST .NTS219559 - CAIQUE SILVA LIMA 08. RESP SUBST .NTS025538 - GILVANDO RIOS DA CRUZ 92 99521-6405 </t>
      </text>
    </comment>
    <comment authorId="0" ref="V63">
      <text>
        <t xml:space="preserve">ENCABEÇAR RD BT NO PG: D204609 E ENERGIZAR OBRA.
</t>
      </text>
    </comment>
    <comment authorId="0" ref="BA63">
      <text>
        <t xml:space="preserve">LM:  
USAR EPI/EPC  34,5KV / ATERRAMENTO: NA / BLOQUEIO RL N/A / CRUZAMENTO DE LT/RD: N/A.</t>
      </text>
    </comment>
    <comment authorId="0" ref="BI63">
      <text>
        <t xml:space="preserve">01. QTD EQUIPES 01LM/ 02. AR U464710 - MANOEL GUSTAVO/ 03. RESP SUBST MRA252517 - LUCIANO NUNES DA SILVA / 04. R  MRA177595- DIOGO CRUZ DOS SANTOS ESP SUBST MRA554506- FABIANO LOPES MORAES / 05. RESP SUBST . 06. RESP SUBST .  07. RESP SUBST .MRA219559 - CAIQUE SILVA LIMA 08. RESP SUBST .NTS025538 - GILVANDO RIOS DA CRUZ 92 99521-6405 </t>
      </text>
    </comment>
    <comment authorId="0" ref="S64">
      <text>
        <t xml:space="preserve">MONTAR BANCADA COM N3 NO PG: B301449, FECHAR CHAVE NOVA PRÓXIMO AO PG: B301449 E ENERGIZAR OBRA.
</t>
      </text>
    </comment>
    <comment authorId="0" ref="V64">
      <text>
        <t xml:space="preserve">FECHAR CHAVE NOVA PRÓXIMO AO PG: B301449 E ENERGIZAR OBRA.</t>
      </text>
    </comment>
    <comment authorId="0" ref="BA64">
      <text>
        <t xml:space="preserve">LV:
USAR EPI/EPC  34,5KV/ SOLICITAR BLOQUEIO DO RL XXXX  / CRUZAMENTO DE LT/RD: N/A.               
LM:  
USAR EPI/EPC  34,5KV / ATERRAMENTO: NA / BLOQUEIO RL N/A / CRUZAMENTO DE LT/RD: N/A.</t>
      </text>
    </comment>
    <comment authorId="0" ref="BI64">
      <text>
        <t xml:space="preserve">LV - JACOBINA
01. QTD EQUIPES 01 LV / 01 LM/ 02. AR U464710 - MANOEL GUSTAVO/ 03. SUBST MRA370581 - PATRICIO DA SILVA BARBOSA 92 991473742/ 04. SUBST NTS884580 - CARLOS ANDRE SANTOS DA SILVA/ 05. SUBST .NTS333599 - JUCELINO DOS SANTOS  06. SUBST .MRA252517 - LUCIANO NUNES DA SILVA  07.  SUBST .MRA554506- FABIANO LOPES MORAES  08. SUBST .MRA219559 - CAIQUE SILVA LIMA 09. SUBST . MRA177595- DIOGO CRUZ DOS SANTOS
GILVANDO:
LM JACOBINA:
01. QTD EQUIPES 01LM/ 02. AR U464710 - MANOEL GUSTAVO/ 03. RESP SUBST MRA252517 - LUCIANO NUNES DA SILVA / 04. R  MRA177595- DIOGO CRUZ DOS SANTOS ESP SUBST MRA554506- FABIANO LOPES MORAES / 05. RESP SUBST . 06. RESP SUBST .  07. RESP SUBST .MRA219559 - CAIQUE SILVA LIMA 08. RESP SUBST .NTS025538 - GILVANDO RIOS DA CRUZ 92 99521-6405 
</t>
      </text>
    </comment>
    <comment authorId="0" ref="S65">
      <text>
        <t xml:space="preserve">MONTAR BANCADA COM N3 NO PG: R045355, FECHAR CHAVE NOVA PRÓXIMO AO PG: E096317 E ENERGIZAR OBRA.
</t>
      </text>
    </comment>
    <comment authorId="0" ref="V65">
      <text>
        <t xml:space="preserve">FECHAR CHAVE NOVA PRÓXIMO AO PG: E096317 E ENERGIZAR OBRA.</t>
      </text>
    </comment>
    <comment authorId="0" ref="BA65">
      <text>
        <t xml:space="preserve">LV:
USAR EPI/EPC 13,8KV / SOLICITAR BLOQUEIO DO RL XXXX  / CRUZAMENTO DE LT/RD: N/A. 
LM:
USAR EPI/EPC 13,8KV / ATERRAMENTO: NA / BLOQUEIO RL N/A / CRUZAMENTO DE LT/RD: N/A.</t>
      </text>
    </comment>
    <comment authorId="0" ref="BI65">
      <text>
        <t xml:space="preserve">LV - JACOBINA
01. QTD EQUIPES 01 LV / 01 LM/ 02. AR U471407 - ANDERSON ROBERTO/ 03. SUBST MRA370581 - PATRICIO DA SILVA BARBOSA 92 991473742/ 04. SUBST NTS884580 - CARLOS ANDRE SANTOS DA SILVA/ 05. SUBST .NTS333599 - JUCELINO DOS SANTOS  06. SUBST .MRA811574- JAILTON DA SILVA 07.  SUBST .MRA738523 - JULIO SERAFIM DAMACENO 08. SUBST .MRA152590 - EMERSON DE CARVALHO  09. SUBST .MRA148601- CLEBSON REIS NETO
 ETEMILSON: OBS: MAIOR QUE 5 ENCARREGADO, DEFINIR 
LM JACOBINA:
01. QTD EQUIPE 01LM/ 02. AR U460544 - NAILTON SANTANA/ 03. SUBS MRA148601- CLEBSON REIS NETO/ 04. SUBS MRA666519-DOUGLAS DA SILVA MELO/ 05. SUBST .MRA571535-GERALDO DA COSTA GOMES 06.SUBS MRA811574- JAILTON DA SILVA  07. MRA096553-RODRIGO STS. SILVA 08. SUBS.MRA738523 - JULIO SERAFIM DAMACENO 09. MRA152590 - EMERSON DE CARVALHO  10.  .MRA258541- CARLOS CRUZ SANTANA 11.NTS219592 - JAIR DE JESUS </t>
      </text>
    </comment>
    <comment authorId="0" ref="S66">
      <text>
        <t xml:space="preserve">INTERCALAR POSTE AT COM N1-3 ENTRE OS PG: R212646 - R212645, FECHAR CHAVE NOVA PRÓXIMO AO PG: R212645 E ENERGIZAR OBRA.
</t>
      </text>
    </comment>
    <comment authorId="0" ref="V66">
      <text>
        <t xml:space="preserve">FECHAR CHAVE NOVA PRÓXIMO AO PG: R212645 E ENERGIZAR OBRA.</t>
      </text>
    </comment>
    <comment authorId="0" ref="BA66">
      <text>
        <t xml:space="preserve">LV:
USAR EPI/EPC 13,8KV / SOLICITAR BLOQUEIO DO RL XXXX  / CRUZAMENTO DE LT/RD: N/A. 
LM:
USAR EPI/EPC 13,8KV / ATERRAMENTO: NA / BLOQUEIO RL N/A / CRUZAMENTO DE LT/RD: N/A.</t>
      </text>
    </comment>
    <comment authorId="0" ref="BI66">
      <text>
        <t xml:space="preserve">LV - JACOBINA
01. QTD EQUIPES 01 LV / 01 LM/ 02. AR U471407 - ANDERSON ROBERTO/ 03. SUBST MRA370581 - PATRICIO DA SILVA BARBOSA 92 991473742/ 04. SUBST NTS884580 - CARLOS ANDRE SANTOS DA SILVA/ 05. SUBST .NTS333599 - JUCELINO DOS SANTOS  06. SUBST .MRA811574- JAILTON DA SILVA 07.  SUBST .MRA738523 - JULIO SERAFIM DAMACENO 08. SUBST .MRA152590 - EMERSON DE CARVALHO  09. SUBST .MRA148601- CLEBSON REIS NETO
 ETEMILSON: OBS: MAIOR QUE 5 ENCARREGADO, DEFINIR 
LM JACOBINA:
01. QTD EQUIPE 01LM/ 02. AR U460544 - NAILTON SANTANA/ 03. SUBS MRA148601- CLEBSON REIS NETO/ 04. SUBS MRA666519-DOUGLAS DA SILVA MELO/ 05. SUBST .MRA571535-GERALDO DA COSTA GOMES 06.SUBS MRA811574- JAILTON DA SILVA  07. MRA096553-RODRIGO STS. SILVA 08. SUBS.MRA738523 - JULIO SERAFIM DAMACENO 09. MRA152590 - EMERSON DE CARVALHO  10.  .MRA258541- CARLOS CRUZ SANTANA 11.NTS219592 - JAIR DE JESUS </t>
      </text>
    </comment>
    <comment authorId="0" ref="S67">
      <text>
        <t xml:space="preserve">ALTERAR ESTRUTURA DE M3 P/ M4 NO PG: D021550 E ENERGIZAR OBRA.
</t>
      </text>
    </comment>
    <comment authorId="0" ref="U67">
      <text>
        <t xml:space="preserve">SUBSTITUIR POSTES BT POR AT DO PG: D021551 AO D021557 E ENERGIZAR OBRA.</t>
      </text>
    </comment>
    <comment authorId="0" ref="X67">
      <text>
        <t xml:space="preserve">ABRIR CHAVE DO TRAFO: J51241 PARA SUBST. POSTES BT POR AT DO PG: D021551 AO D021557, REALOCAR O MESMO PARA O PG: D021570 E ENERGIZAR OBRA.</t>
      </text>
    </comment>
    <comment authorId="0" ref="BA67">
      <text>
        <t xml:space="preserve">LV:
USAR EPI/EPC 13,8KV / SOLICITAR BLOQUEIO DO RL XXXX  / CRUZAMENTO DE LT/RD: N/A. 
LM:
USAR EPI/EPC 13,8KV / ATERRAMENTO: NA / BLOQUEIO RL N/A / CRUZAMENTO DE LT/RD: N/A.</t>
      </text>
    </comment>
    <comment authorId="0" ref="BI67">
      <text>
        <t xml:space="preserve">LV - JACOBINA
01. QTD EQUIPES 01 LV / 01 LM/ 02. AR U471407 - ANDERSON ROBERTO/ 03. SUBST MRA370581 - PATRICIO DA SILVA BARBOSA 92 991473742/ 04. SUBST NTS884580 - CARLOS ANDRE SANTOS DA SILVA/ 05. SUBST .NTS333599 - JUCELINO DOS SANTOS  06. SUBST .MRA811574- JAILTON DA SILVA 07.  SUBST .MRA738523 - JULIO SERAFIM DAMACENO 08. SUBST .MRA152590 - EMERSON DE CARVALHO  09. SUBST .MRA148601- CLEBSON REIS NETO
 ETEMILSON: OBS: MAIOR QUE 5 ENCARREGADO, DEFINIR 
LM JACOBINA:
01. QTD EQUIPE 01LM/ 02. AR U460544 - NAILTON SANTANA/ 03. SUBS MRA148601- CLEBSON REIS NETO/ 04. SUBS MRA666519-DOUGLAS DA SILVA MELO/ 05. SUBST .MRA571535-GERALDO DA COSTA GOMES 06.SUBS MRA811574- JAILTON DA SILVA  07. MRA096553-RODRIGO STS. SILVA 08. SUBS.MRA738523 - JULIO SERAFIM DAMACENO 09. MRA152590 - EMERSON DE CARVALHO  10.  .MRA258541- CARLOS CRUZ SANTANA 11.NTS219592 - JAIR DE JESUS </t>
      </text>
    </comment>
    <comment authorId="0" ref="S68">
      <text>
        <t xml:space="preserve">INTERCALAR POSTE AT COM N1 -CE3 ENTRE OS PG: R213036 - R040949, FECHAR CHAVE NOVA PRÓXIMO AO PG: R040949 E ENERGIZAR OBRA.
</t>
      </text>
    </comment>
    <comment authorId="0" ref="U68">
      <text>
        <t xml:space="preserve">SUBSTITUIR POSTES BT POR AT NO PG: D394635 - D394634 E ENERGIZAR OBRA.
</t>
      </text>
    </comment>
    <comment authorId="0" ref="X68">
      <text>
        <t xml:space="preserve">ABRIR CH: J14597 P/ DESTIVAR RD BT E MT DO PG: R213000 AO R213002, TRANSFERIR REDE PARA O TRECHO NOVO E ENERGIZAR OBRA.</t>
      </text>
    </comment>
    <comment authorId="0" ref="BA68">
      <text>
        <t xml:space="preserve">LV:
USAR EPI/EPC 13,8KV / SOLICITAR BLOQUEIO DO RL XXXX  / CRUZAMENTO DE LT/RD: N/A. 
LM:
USAR EPI/EPC 13,8KV / ATERRAMENTO: NA / BLOQUEIO RL N/A / CRUZAMENTO DE LT/RD: N/A.</t>
      </text>
    </comment>
    <comment authorId="0" ref="BI68">
      <text>
        <t xml:space="preserve">LV - JACOBINA
01. QTD EQUIPES 01 LV / 01 LM/ 02. AR U471407 - ANDERSON ROBERTO/ 03. SUBST MRA370581 - PATRICIO DA SILVA BARBOSA 92 991473742/ 04. SUBST NTS884580 - CARLOS ANDRE SANTOS DA SILVA/ 05. SUBST .NTS333599 - JUCELINO DOS SANTOS  06. SUBST .MRA811574- JAILTON DA SILVA 07.  SUBST .MRA738523 - JULIO SERAFIM DAMACENO 08. SUBST .MRA152590 - EMERSON DE CARVALHO  09. SUBST .MRA148601- CLEBSON REIS NETO
 ETEMILSON: OBS: MAIOR QUE 5 ENCARREGADO, DEFINIR 
LM JACOBINA:
01. QTD EQUIPE 01LM/ 02. AR U460544 - NAILTON SANTANA/ 03. SUBS MRA148601- CLEBSON REIS NETO/ 04. SUBS MRA666519-DOUGLAS DA SILVA MELO/ 05. SUBST .MRA571535-GERALDO DA COSTA GOMES 06.SUBS MRA811574- JAILTON DA SILVA  07. MRA096553-RODRIGO STS. SILVA 08. SUBS.MRA738523 - JULIO SERAFIM DAMACENO 09. MRA152590 - EMERSON DE CARVALHO  10.  .MRA258541- CARLOS CRUZ SANTANA 11.NTS219592 - JAIR DE JESUS </t>
      </text>
    </comment>
    <comment authorId="0" ref="BK68">
      <text>
        <t xml:space="preserve">SUBSTITUIR POSTES BT POR AT NO PG: D394635 - D394634 E ENERGIZAR OBRA.
</t>
      </text>
    </comment>
    <comment authorId="0" ref="S69">
      <text>
        <t xml:space="preserve">INTERCALAR POSTE AT COM N1 E TRAFO ENTRE OS PG: R033844 - R045331, FECHAR CHAVE NOVA PRÓXIMO AO PG: R033844  E ENERGIZAR OBRA.
</t>
      </text>
    </comment>
    <comment authorId="0" ref="V69">
      <text>
        <t xml:space="preserve">FECHAR CHAVE NOVA PRÓXIMO AO PG: R033844  E ENERGIZAR OBRA.</t>
      </text>
    </comment>
    <comment authorId="0" ref="BA69">
      <text>
        <t xml:space="preserve">LV:
USAR EPI/EPC 13,8KV / SOLICITAR BLOQUEIO DO RL XXXX  / CRUZAMENTO DE LT/RD: N/A. 
LM:
USAR EPI/EPC 13,8KV / ATERRAMENTO: NA / BLOQUEIO RL N/A / CRUZAMENTO DE LT/RD: N/A.</t>
      </text>
    </comment>
    <comment authorId="0" ref="BI69">
      <text>
        <t xml:space="preserve">LV - JACOBINA
01. QTD EQUIPES 01 LV / 01 LM/ 02. AR U471407 - ANDERSON ROBERTO/ 03. SUBST MRA370581 - PATRICIO DA SILVA BARBOSA 92 991473742/ 04. SUBST NTS884580 - CARLOS ANDRE SANTOS DA SILVA/ 05. SUBST .NTS333599 - JUCELINO DOS SANTOS  06. SUBST .MRA811574- JAILTON DA SILVA 07.  SUBST .MRA738523 - JULIO SERAFIM DAMACENO 08. SUBST .MRA152590 - EMERSON DE CARVALHO  09. SUBST .MRA148601- CLEBSON REIS NETO
 ETEMILSON: OBS: MAIOR QUE 5 ENCARREGADO, DEFINIR 
LM JACOBINA:
01. QTD EQUIPE 01LM/ 02. AR U460544 - NAILTON SANTANA/ 03. SUBS MRA148601- CLEBSON REIS NETO/ 04. SUBS MRA666519-DOUGLAS DA SILVA MELO/ 05. SUBST .MRA571535-GERALDO DA COSTA GOMES 06.SUBS MRA811574- JAILTON DA SILVA  07. MRA096553-RODRIGO STS. SILVA 08. SUBS.MRA738523 - JULIO SERAFIM DAMACENO 09. MRA152590 - EMERSON DE CARVALHO  10.  .MRA258541- CARLOS CRUZ SANTANA 11.NTS219592 - JAIR DE JESUS </t>
      </text>
    </comment>
    <comment authorId="0" ref="S70">
      <text>
        <t xml:space="preserve">INTERCALAR 02 POSTES AT COM N1 ENTRE OS PG: E119632 - E119636, ENCABEÇAR RD BT NO PG: E119632 E ENERGIZAR OBRA.
</t>
      </text>
    </comment>
    <comment authorId="0" ref="V70">
      <text>
        <t xml:space="preserve">ENCABEÇAR RD BT NO PG: E119632 E ENERGIZAR OBRA.
</t>
      </text>
    </comment>
    <comment authorId="0" ref="BA70">
      <text>
        <t xml:space="preserve">LV:
USAR EPI/EPC 13,8KV / SOLICITAR BLOQUEIO DO RL XXXX  / CRUZAMENTO DE LT/RD: N/A. 
LM:
USAR EPI/EPC 13,8KV / ATERRAMENTO: NA / BLOQUEIO RL N/A / CRUZAMENTO DE LT/RD: N/A.</t>
      </text>
    </comment>
    <comment authorId="0" ref="BI70">
      <text>
        <t xml:space="preserve">LV - JACOBINA
01. QTD EQUIPES 01 LV / 01 LM/ 02. AR U471407 - ANDERSON ROBERTO/ 03. SUBST MRA370581 - PATRICIO DA SILVA BARBOSA 92 991473742/ 04. SUBST NTS884580 - CARLOS ANDRE SANTOS DA SILVA/ 05. SUBST .NTS333599 - JUCELINO DOS SANTOS  06. SUBST .MRA811574- JAILTON DA SILVA 07.  SUBST .MRA738523 - JULIO SERAFIM DAMACENO 08. SUBST .MRA152590 - EMERSON DE CARVALHO  09. SUBST .MRA148601- CLEBSON REIS NETO
 ETEMILSON: OBS: MAIOR QUE 5 ENCARREGADO, DEFINIR 
LM JACOBINA:
01. QTD EQUIPE 01LM/ 02. AR U460544 - NAILTON SANTANA/ 03. SUBS MRA148601- CLEBSON REIS NETO/ 04. SUBS MRA666519-DOUGLAS DA SILVA MELO/ 05. SUBST .MRA571535-GERALDO DA COSTA GOMES 06.SUBS MRA811574- JAILTON DA SILVA  07. MRA096553-RODRIGO STS. SILVA 08. SUBS.MRA738523 - JULIO SERAFIM DAMACENO 09. MRA152590 - EMERSON DE CARVALHO  10.  .MRA258541- CARLOS CRUZ SANTANA 11.NTS219592 - JAIR DE JESUS </t>
      </text>
    </comment>
    <comment authorId="0" ref="V71">
      <text>
        <t xml:space="preserve">ENCABEÇAR RD BT NO PG: R210398 E ENERGIZAR OBRA.
</t>
      </text>
    </comment>
    <comment authorId="0" ref="BA71">
      <text>
        <t xml:space="preserve">LM:
USAR EPI/EPC 13,8KV / ATERRAMENTO: NA / BLOQUEIO RL N/A / CRUZAMENTO DE LT/RD: N/A.</t>
      </text>
    </comment>
    <comment authorId="0" ref="BI71">
      <text>
        <t xml:space="preserve"> ETEMILSON: OBS: MAIOR QUE 5 ENCARREGADO, DEFINIR 
LM JACOBINA:
01. QTD EQUIPE 01LM/ 02. AR U460544 - NAILTON SANTANA/ 03. SUBS MRA148601- CLEBSON REIS NETO/ 04. SUBS MRA666519-DOUGLAS DA SILVA MELO/ 05. SUBST .MRA571535-GERALDO DA COSTA GOMES 06.SUBS MRA811574- JAILTON DA SILVA  07. SUBST .MRA096553-RODRIGO STS. SILVA 08. SUBS.MRA738523 - JULIO SERAFIM DAMACENO 09. MRA152590 - EMERSON DE CARVALHO  10.  .MRA258541- CARLOS CRUZ SANTANA 11.NTS219592 - JAIR DE JESUS 
</t>
      </text>
    </comment>
    <comment authorId="0" ref="S72">
      <text>
        <t xml:space="preserve">ALTERAR ESTRUTURA DE N3 P/ N4 NO PG: D539249, FECHAR CHAVE NOVA PRÓXIMO AO PG: D539249 E ENERGIZAR OBRA.
</t>
      </text>
    </comment>
    <comment authorId="0" ref="U72">
      <text>
        <t xml:space="preserve">SUBSTITUIR POSTES BT POR AT DO PG: D536896 AO D539248 E ENERGIZAR OBRA.
</t>
      </text>
    </comment>
    <comment authorId="0" ref="V72">
      <text>
        <t xml:space="preserve">FECHAR CHAVE NOVA PRÓXIMO AO PG: D539249 E ENERGIZAR OBRA.</t>
      </text>
    </comment>
    <comment authorId="0" ref="BA72">
      <text>
        <t xml:space="preserve">LV:
USAR EPI/EPC 13,8KV / SOLICITAR BLOQUEIO DO RL XXXX  / CRUZAMENTO DE LT/RD: N/A. 
LM:
USAR EPI/EPC 13,8KV / ATERRAMENTO: NA / BLOQUEIO RL N/A / CRUZAMENTO DE LT/RD: N/A.</t>
      </text>
    </comment>
    <comment authorId="0" ref="BI72">
      <text>
        <t xml:space="preserve">LV - JACOBINA
01. QTD EQUIPES 01 LV / 01 LM/ 02. AR U471407 - ANDERSON ROBERTO/ 03. SUBST MRA370581 - PATRICIO DA SILVA BARBOSA 92 991473742/ 04. SUBST NTS884580 - CARLOS ANDRE SANTOS DA SILVA/ 05. SUBST .NTS333599 - JUCELINO DOS SANTOS  06. SUBST .MRA811574- JAILTON DA SILVA 07.  SUBST .MRA738523 - JULIO SERAFIM DAMACENO 08. SUBST .MRA152590 - EMERSON DE CARVALHO  09. SUBST .MRA148601- CLEBSON REIS NETO
 ETEMILSON: OBS: MAIOR QUE 5 ENCARREGADO, DEFINIR 
LM JACOBINA:
01. QTD EQUIPE 01LM/ 02. AR U460544 - NAILTON SANTANA/ 03. SUBS MRA148601- CLEBSON REIS NETO/ 04. SUBS MRA666519-DOUGLAS DA SILVA MELO/ 05. SUBST .MRA571535-GERALDO DA COSTA GOMES 06.SUBS MRA811574- JAILTON DA SILVA  07. MRA096553-RODRIGO STS. SILVA 08. SUBS.MRA738523 - JULIO SERAFIM DAMACENO 09. MRA152590 - EMERSON DE CARVALHO  10.  .MRA258541- CARLOS CRUZ SANTANA 11.NTS219592 - JAIR DE JESUS </t>
      </text>
    </comment>
    <comment authorId="0" ref="V73">
      <text>
        <t xml:space="preserve">INTECALAR POSTE BT ENTRE OS PG: D515653 - D515652 E ENERGIZAR OBRA.</t>
      </text>
    </comment>
    <comment authorId="0" ref="BA73">
      <text>
        <t xml:space="preserve">LM:
USAR EPI/EPC 13,8KV / ATERRAMENTO: NA / BLOQUEIO RL N/A / CRUZAMENTO DE LT/RD: N/A.</t>
      </text>
    </comment>
    <comment authorId="0" ref="BI73">
      <text>
        <t xml:space="preserve"> ETEMILSON: OBS: MAIOR QUE 5 ENCARREGADO, DEFINIR 
LM JACOBINA:
01. QTD EQUIPE 01LM/ 02. AR U460544 - NAILTON SANTANA/ 03. SUBS MRA148601- CLEBSON REIS NETO/ 04. SUBS MRA666519-DOUGLAS DA SILVA MELO/ 05. SUBST .MRA571535-GERALDO DA COSTA GOMES 06.SUBS MRA811574- JAILTON DA SILVA  07. SUBST .MRA096553-RODRIGO STS. SILVA 08. SUBS.MRA738523 - JULIO SERAFIM DAMACENO 09. MRA152590 - EMERSON DE CARVALHO  10.  .MRA258541- CARLOS CRUZ SANTANA 11.NTS219592 - JAIR DE JESUS 
</t>
      </text>
    </comment>
    <comment authorId="0" ref="S74">
      <text>
        <t xml:space="preserve">INTERCALAR POSTE AT COM N1 E TRAFO ENTRE OS PG: E026618 - E026619, FECHAR CHAVE NOVA PRÓXIMO AO PG: E026619 E ENERGIZAR OBRA.
</t>
      </text>
    </comment>
    <comment authorId="0" ref="V74">
      <text>
        <t xml:space="preserve">FECHAR CHAVE NOVA PRÓXIMO AO PG: E026619 E ENERGIZAR OBRA.</t>
      </text>
    </comment>
    <comment authorId="0" ref="BA74">
      <text>
        <t xml:space="preserve">LV:
USAR EPI/EPC 13,8KV / SOLICITAR BLOQUEIO DO RL XXXX  / CRUZAMENTO DE LT/RD: N/A. 
LM:
USAR EPI/EPC 13,8KV / ATERRAMENTO: NA / BLOQUEIO RL N/A / CRUZAMENTO DE LT/RD: N/A.</t>
      </text>
    </comment>
    <comment authorId="0" ref="BI74">
      <text>
        <t xml:space="preserve">LV - JACOBINA
01. QTD EQUIPES 01 LV / 01 LM/ 02. AR U471407 - ANDERSON ROBERTO/ 03. SUBST MRA370581 - PATRICIO DA SILVA BARBOSA 92 991473742/ 04. SUBST NTS884580 - CARLOS ANDRE SANTOS DA SILVA/ 05. SUBST .NTS333599 - JUCELINO DOS SANTOS  06. SUBST .MRA811574- JAILTON DA SILVA 07.  SUBST .MRA738523 - JULIO SERAFIM DAMACENO 08. SUBST .MRA152590 - EMERSON DE CARVALHO  09. SUBST .MRA148601- CLEBSON REIS NETO
 ETEMILSON: OBS: MAIOR QUE 5 ENCARREGADO, DEFINIR 
LM JACOBINA:
01. QTD EQUIPE 01LM/ 02. AR U460544 - NAILTON SANTANA/ 03. SUBS MRA148601- CLEBSON REIS NETO/ 04. SUBS MRA666519-DOUGLAS DA SILVA MELO/ 05. SUBST .MRA571535-GERALDO DA COSTA GOMES 06.SUBS MRA811574- JAILTON DA SILVA  07. MRA096553-RODRIGO STS. SILVA 08. SUBS.MRA738523 - JULIO SERAFIM DAMACENO 09. MRA152590 - EMERSON DE CARVALHO  10.  .MRA258541- CARLOS CRUZ SANTANA 11.NTS219592 - JAIR DE JESUS </t>
      </text>
    </comment>
    <comment authorId="0" ref="S75">
      <text>
        <t xml:space="preserve">SUBSTITUIR POSTE 11/600 POR 11/1000 NO PG: D220329 E ENERGIZAR OBRA.</t>
      </text>
    </comment>
    <comment authorId="0" ref="BA75">
      <text>
        <t xml:space="preserve">LV:
USAR EPI/EPC 13,8KV / SOLICITAR BLOQUEIO DO RL XXXX  / CRUZAMENTO DE LT/RD: N/A. 
LM:
USAR EPI/EPC 13,8KV / ATERRAMENTO: NA / BLOQUEIO RL N/A / CRUZAMENTO DE LT/RD: N/A.</t>
      </text>
    </comment>
    <comment authorId="0" ref="BI75">
      <text>
        <t xml:space="preserve">LV - JACOBINA
01. QTD EQUIPES 01 LV / 01 LM/ 02. AR U460544 - NAILTON SANTANA/ 03. SUBST NTS27946 - PATRICIO DA SILVA BARBOSA 92 991473742/ 04. SUBST NTS884580 - CARLOS ANDRE SANTOS DA SILVA/ 05. SUBST .NTS333599 - JUCELINO DOS SANTOS  06. SUBST .NTS738523 - JULIO SERAFIM DAMACENO 07.  SUBST .NTS666519-DOUGLAS DA SILVA MELO 08. SUBST .NTS096553-RODRIGO STS. SILVA 09. SUBST .NTS148601- CLEBSON REIS NETO
 ETEMILSON: OBS: MAIOR QUE 5 ENCARREGADO, DEFINIR 
LM JACOBINA:
01. QTD EQUIPE 01LM/ 02. AR U460544 - NAILTON SANTANA/ 03. SUBST NTS148601- CLEBSON REIS NETO/ 04. SUBST NTS666519-DOUGLAS DA SILVA MELO/ 05. SUBST .NTS571535-GERALDO DA COSTA GOMES 06.SUBST.NTS811574- JAILTON DA SILVA  07. SUBST .NTS096553-RODRIGO STS. SILVA 08. SUBST .NTS738523 - JULIO SERAFIM DAMACENO 09. SUBST NTS152590 - EMERSON DE CARVALHO  10. SUBST .NTS258541 - CARLOS CRUZ SANTANA </t>
      </text>
    </comment>
    <comment authorId="0" ref="S76">
      <text>
        <t xml:space="preserve">MONTAR BANCADA COM N3 NO PG: E026698, FECHAR CHAVE NOVA PRÓXIMO AO PG: E026698 E ENERGIZAR OBRA.</t>
      </text>
    </comment>
    <comment authorId="0" ref="BA76">
      <text>
        <t xml:space="preserve">LV:
USAR EPI/EPC 13,8KV / SOLICITAR BLOQUEIO DO RL XXXX  / CRUZAMENTO DE LT/RD: N/A. 
LM:
USAR EPI/EPC 13,8KV / ATERRAMENTO: NA / BLOQUEIO RL N/A / CRUZAMENTO DE LT/RD: N/A.</t>
      </text>
    </comment>
    <comment authorId="0" ref="BI76">
      <text>
        <t xml:space="preserve">LV - JACOBINA
01. QTD EQUIPES 01 LV / 01 LM/ 02. AR U460544 - NAILTON SANTANA/ 03. SUBST NTS27946 - PATRICIO DA SILVA BARBOSA 92 991473742/ 04. SUBST NTS884580 - CARLOS ANDRE SANTOS DA SILVA/ 05. SUBST .NTS333599 - JUCELINO DOS SANTOS  06. SUBST .NTS738523 - JULIO SERAFIM DAMACENO 07.  SUBST .NTS666519-DOUGLAS DA SILVA MELO 08. SUBST .NTS096553-RODRIGO STS. SILVA 09. SUBST .NTS148601- CLEBSON REIS NETO
 ETEMILSON: OBS: MAIOR QUE 5 ENCARREGADO, DEFINIR 
LM JACOBINA:
01. QTD EQUIPE 01LM/ 02. AR U460544 - NAILTON SANTANA/ 03. SUBST NTS148601- CLEBSON REIS NETO/ 04. SUBST NTS666519-DOUGLAS DA SILVA MELO/ 05. SUBST .NTS571535-GERALDO DA COSTA GOMES 06.SUBST.NTS811574- JAILTON DA SILVA  07. SUBST .NTS096553-RODRIGO STS. SILVA 08. SUBST .NTS738523 - JULIO SERAFIM DAMACENO 09. SUBST NTS152590 - EMERSON DE CARVALHO  10. SUBST .NTS258541 - CARLOS CRUZ SANTANA </t>
      </text>
    </comment>
    <comment authorId="0" ref="S77">
      <text>
        <t xml:space="preserve">INTERCALAR POSTE AT COM N1 E TRAFO ENTRE OS PG: R214814 - R214848, FECHAR CHAVE NOVA PRÓXIMO AO PG: R214814  E ENERGIZAR OBRA.
</t>
      </text>
    </comment>
    <comment authorId="0" ref="BA77">
      <text>
        <t xml:space="preserve">LV:
USAR EPI/EPC 13,8KV / SOLICITAR BLOQUEIO DO RL XXXX  / CRUZAMENTO DE LT/RD: N/A. 
LM:
USAR EPI/EPC 13,8KV / ATERRAMENTO: NA / BLOQUEIO RL N/A / CRUZAMENTO DE LT/RD: N/A.</t>
      </text>
    </comment>
    <comment authorId="0" ref="BI77">
      <text>
        <t xml:space="preserve">LV - JACOBINA
01. QTD EQUIPES 01 LV / 01 LM/ 02. AR U460544 - NAILTON SANTANA/ 03. SUBST NTS27946 - PATRICIO DA SILVA BARBOSA 92 991473742/ 04. SUBST NTS884580 - CARLOS ANDRE SANTOS DA SILVA/ 05. SUBST .NTS333599 - JUCELINO DOS SANTOS  06. SUBST .NTS738523 - JULIO SERAFIM DAMACENO 07.  SUBST .NTS666519-DOUGLAS DA SILVA MELO 08. SUBST .NTS096553-RODRIGO STS. SILVA 09. SUBST .NTS148601- CLEBSON REIS NETO
 ETEMILSON: OBS: MAIOR QUE 5 ENCARREGADO, DEFINIR 
LM JACOBINA:
01. QTD EQUIPE 01LM/ 02. AR U460544 - NAILTON SANTANA/ 03. SUBST NTS148601- CLEBSON REIS NETO/ 04. SUBST NTS666519-DOUGLAS DA SILVA MELO/ 05. SUBST .NTS571535-GERALDO DA COSTA GOMES 06.SUBST.NTS811574- JAILTON DA SILVA  07. SUBST .NTS096553-RODRIGO STS. SILVA 08. SUBST .NTS738523 - JULIO SERAFIM DAMACENO 09. SUBST NTS152590 - EMERSON DE CARVALHO  10. SUBST .NTS258541 - CARLOS CRUZ SANTANA </t>
      </text>
    </comment>
    <comment authorId="0" ref="S78">
      <text>
        <t xml:space="preserve">SUBSTITUIR POSTES AT NO PG: D099538, ALTERAR ESTRUTURA DE N3 P/ N4 NO PG: D099538 E ENERGIZAR OBRA.
</t>
      </text>
    </comment>
    <comment authorId="0" ref="U78">
      <text>
        <t xml:space="preserve">SUBSTITUIR POSTES BT POR AT DO PG: D099539 AO B915627 E ENERGIZAR OBRA.
</t>
      </text>
    </comment>
    <comment authorId="0" ref="V78">
      <text>
        <t xml:space="preserve">FECHAR CHAVE NOVA PRÓXIMO AO PG: D099538 E ENERGIZAR OBRA.</t>
      </text>
    </comment>
    <comment authorId="0" ref="BA78">
      <text>
        <t xml:space="preserve">LV:
USAR EPI/EPC 13,8KV / SOLICITAR BLOQUEIO DO RL XXXX  / CRUZAMENTO DE LT/RD: N/A. 
LM:
USAR EPI/EPC 13,8KV / ATERRAMENTO: NA / BLOQUEIO RL N/A / CRUZAMENTO DE LT/RD: N/A.</t>
      </text>
    </comment>
    <comment authorId="0" ref="BI78">
      <text>
        <t xml:space="preserve">LV - JACOBINA
01. QTD EQUIPES 01 LV / 01 LM/ 02. AR U464710 - MANOEL GUSTAVO/ 03. SUBST MRA370581 - PATRICIO DA SILVA BARBOSA 92 991473742/ 04. SUBST NTS884580 - CARLOS ANDRE SANTOS DA SILVA/ 05. SUBST .NTS333599 - JUCELINO DOS SANTOS  06. SUBST .MRA252517 - LUCIANO NUNES DA SILVA  07.  SUBST .MRA554506- FABIANO LOPES MORAES  08. SUBST .MRA219559 - CAIQUE SILVA LIMA 09. SUBST . MRA177595- DIOGO CRUZ DOS SANTOS
GILVANDO:
LM JACOBINA:
01. QTD EQUIPES 01LM/ 02. AR U464710 - MANOEL GUSTAVO/ 03. RESP SUBST MRA252517 - LUCIANO NUNES DA SILVA / 04. R  MRA177595- DIOGO CRUZ DOS SANTOS ESP SUBST MRA554506- FABIANO LOPES MORAES / 05. RESP SUBST . 06. RESP SUBST .  07. RESP SUBST .MRA219559 - CAIQUE SILVA LIMA 08. RESP SUBST .NTS025538 - GILVANDO RIOS DA CRUZ 92 99521-6405 
</t>
      </text>
    </comment>
    <comment authorId="0" ref="V79">
      <text>
        <t xml:space="preserve">ENCABEÇAR RD BT NO PG: D099294 E ENERGIZAR OBRA.
</t>
      </text>
    </comment>
    <comment authorId="0" ref="BA79">
      <text>
        <t xml:space="preserve">LM:
USAR EPI/EPC 13,8KV / ATERRAMENTO: NA / BLOQUEIO RL N/A / CRUZAMENTO DE LT/RD: N/A.</t>
      </text>
    </comment>
    <comment authorId="0" ref="BI79">
      <text>
        <t xml:space="preserve">01. QTD EQUIPES 01LM/ 02. AR U464710 - MANOEL GUSTAVO/ 03. RESP SUBST MRA252517 - LUCIANO NUNES DA SILVA / 04. R  MRA177595- DIOGO CRUZ DOS SANTOS ESP SUBST MRA554506- FABIANO LOPES MORAES / 05. RESP SUBST . 06. RESP SUBST .  07. RESP SUBST .MRA219559 - CAIQUE SILVA LIMA 08. RESP SUBST .NTS025538 - GILVANDO RIOS DA CRUZ 92 99521-6405 </t>
      </text>
    </comment>
    <comment authorId="0" ref="V80">
      <text>
        <t xml:space="preserve">ENCABEÇAR RD BT NO PG: D754429 E ENERGIZAR OBRA.
</t>
      </text>
    </comment>
    <comment authorId="0" ref="BA80">
      <text>
        <t xml:space="preserve">LM:  
USAR EPI/EPC  34,5KV / ATERRAMENTO: NA / BLOQUEIO RL N/A / CRUZAMENTO DE LT/RD: N/A.</t>
      </text>
    </comment>
    <comment authorId="0" ref="BI80">
      <text>
        <t xml:space="preserve">01. QTD EQUIPES 01LM/ 02. AR U464710 - MANOEL GUSTAVO/ 03. RESP SUBST MRA252517 - LUCIANO NUNES DA SILVA / 04. R  MRA177595- DIOGO CRUZ DOS SANTOS ESP SUBST MRA554506- FABIANO LOPES MORAES / 05. RESP SUBST . 06. RESP SUBST .  07. RESP SUBST .MRA219559 - CAIQUE SILVA LIMA 08. RESP SUBST .NTS025538 - GILVANDO RIOS DA CRUZ 92 99521-6405 </t>
      </text>
    </comment>
    <comment authorId="0" ref="S81">
      <text>
        <t xml:space="preserve">INTERCALAR POSTE AT COM N4 ENTRE OS PG: R038550 - R038549, SUBSTITUIR POSTE AT POR 11/1000 NO PG: R038550  E ENERGIZAR OBRA.
</t>
      </text>
    </comment>
    <comment authorId="0" ref="X81">
      <text>
        <t xml:space="preserve">MANOBRA: ABRIR CHAVE: XXX PARA DESATIVAR RD MT DO PG: R038550 AO POSTE NOVO, TRANSFERIR PARA TRECHO NOVO E ENERGIZAR OBRA.</t>
      </text>
    </comment>
    <comment authorId="0" ref="BA81">
      <text>
        <t xml:space="preserve">LV:
USAR EPI/EPC 13,8KV / SOLICITAR BLOQUEIO DO RL XXXX  / CRUZAMENTO DE LT/RD: N/A. 
LM:
USAR EPI/EPC 13,8KV / ATERRAMENTO: NA / BLOQUEIO RL N/A / CRUZAMENTO DE LT/RD: N/A.</t>
      </text>
    </comment>
    <comment authorId="0" ref="BI81">
      <text>
        <t xml:space="preserve">LV - JACOBINA
01. QTD EQUIPES 01 LV / 01 LM/ 02. AR U464710 - MANOEL GUSTAVO/ 03. SUBST MRA370581 - PATRICIO DA SILVA BARBOSA 92 991473742/ 04. SUBST NTS884580 - CARLOS ANDRE SANTOS DA SILVA/ 05. SUBST .NTS333599 - JUCELINO DOS SANTOS  06. SUBST .MRA252517 - LUCIANO NUNES DA SILVA  07.  SUBST .MRA554506- FABIANO LOPES MORAES  08. SUBST .MRA219559 - CAIQUE SILVA LIMA 09. SUBST . MRA177595- DIOGO CRUZ DOS SANTOS
GILVANDO:
LM JACOBINA:
01. QTD EQUIPES 01LM/ 02. AR U464710 - MANOEL GUSTAVO/ 03. RESP SUBST MRA252517 - LUCIANO NUNES DA SILVA / 04. R  MRA177595- DIOGO CRUZ DOS SANTOS ESP SUBST MRA554506- FABIANO LOPES MORAES / 05. RESP SUBST . 06. RESP SUBST .  07. RESP SUBST .MRA219559 - CAIQUE SILVA LIMA 08. RESP SUBST .NTS025538 - GILVANDO RIOS DA CRUZ 92 99521-6405 
</t>
      </text>
    </comment>
    <comment authorId="0" ref="V82">
      <text>
        <t xml:space="preserve">ENCABEÇAR RD BT NO PG: E340300 E ENERGIZAR OBRA.
</t>
      </text>
    </comment>
    <comment authorId="0" ref="BA82">
      <text>
        <t xml:space="preserve">LM:
USAR EPI/EPC 13,8KV / ATERRAMENTO: NA / BLOQUEIO RL N/A / CRUZAMENTO DE LT/RD: N/A.</t>
      </text>
    </comment>
    <comment authorId="0" ref="BI82">
      <text>
        <t xml:space="preserve">01. QTD EQUIPES 01LM/ 02. AR U464710 - MANOEL GUSTAVO/ 03. RESP SUBST MRA252517 - LUCIANO NUNES DA SILVA / 04. R  MRA177595- DIOGO CRUZ DOS SANTOS ESP SUBST MRA554506- FABIANO LOPES MORAES / 05. RESP SUBST . 06. RESP SUBST .  07. RESP SUBST .MRA219559 - CAIQUE SILVA LIMA 08. RESP SUBST .NTS025538 - GILVANDO RIOS DA CRUZ 92 99521-6405 </t>
      </text>
    </comment>
    <comment authorId="0" ref="S83">
      <text>
        <t xml:space="preserve">INTERCALAR POSTE AT COM N1 ENTRE OS PG: D242037 - D242040, ENCABEÇAR RD BT NO PG: D242037  E ENERGIZAR OBRA.
</t>
      </text>
    </comment>
    <comment authorId="0" ref="V83">
      <text>
        <t xml:space="preserve">ENCABEÇAR RD BT NO PG: D242037  E ENERGIZAR OBRA.
</t>
      </text>
    </comment>
    <comment authorId="0" ref="BA83">
      <text>
        <t xml:space="preserve">LV:
USAR EPI/EPC 13,8KV / SOLICITAR BLOQUEIO DO RL XXXX  / CRUZAMENTO DE LT/RD: N/A. 
LM:
USAR EPI/EPC 13,8KV / ATERRAMENTO: NA / BLOQUEIO RL N/A / CRUZAMENTO DE LT/RD: N/A.</t>
      </text>
    </comment>
    <comment authorId="0" ref="BI83">
      <text>
        <t xml:space="preserve">LV - JACOBINA
01. QTD EQUIPES 01 LV / 01 LM/ 02. AR U464710 - MANOEL GUSTAVO/ 03. SUBST MRA370581 - PATRICIO DA SILVA BARBOSA 92 991473742/ 04. SUBST NTS884580 - CARLOS ANDRE SANTOS DA SILVA/ 05. SUBST .NTS333599 - JUCELINO DOS SANTOS  06. SUBST .MRA252517 - LUCIANO NUNES DA SILVA  07.  SUBST .MRA554506- FABIANO LOPES MORAES  08. SUBST .MRA219559 - CAIQUE SILVA LIMA 09. SUBST . MRA177595- DIOGO CRUZ DOS SANTOS
GILVANDO:
LM JACOBINA:
01. QTD EQUIPES 01LM/ 02. AR U464710 - MANOEL GUSTAVO/ 03. RESP SUBST MRA252517 - LUCIANO NUNES DA SILVA / 04. R  MRA177595- DIOGO CRUZ DOS SANTOS ESP SUBST MRA554506- FABIANO LOPES MORAES / 05. RESP SUBST . 06. RESP SUBST .  07. RESP SUBST .MRA219559 - CAIQUE SILVA LIMA 08. RESP SUBST .NTS025538 - GILVANDO RIOS DA CRUZ 92 99521-6405 
</t>
      </text>
    </comment>
    <comment authorId="0" ref="V84">
      <text>
        <t xml:space="preserve">ENCABEÇAR RD BT NO PG: E653114 E ENERGIZAR OBRA.
</t>
      </text>
    </comment>
    <comment authorId="0" ref="BA84">
      <text>
        <t xml:space="preserve">LM:
USAR EPI/EPC 13,8KV / ATERRAMENTO: NA / BLOQUEIO RL N/A / CRUZAMENTO DE LT/RD: N/A.</t>
      </text>
    </comment>
    <comment authorId="0" ref="BI84">
      <text>
        <t xml:space="preserve">01. QTD EQUIPES 01LM/ 02. AR U464710 - MANOEL GUSTAVO/ 03. RESP SUBST MRA252517 - LUCIANO NUNES DA SILVA / 04. R  MRA177595- DIOGO CRUZ DOS SANTOS ESP SUBST MRA554506- FABIANO LOPES MORAES / 05. RESP SUBST . 06. RESP SUBST .  07. RESP SUBST .MRA219559 - CAIQUE SILVA LIMA 08. RESP SUBST .NTS025538 - GILVANDO RIOS DA CRUZ 92 99521-6405 </t>
      </text>
    </comment>
    <comment authorId="0" ref="S85">
      <text>
        <t xml:space="preserve">INTERCALAR POSTE AT COM N1 ENTRE OS PG: R043377 - R043376, ENCABEÇAR RD BT  E ENERGIZAR OBRA.
</t>
      </text>
    </comment>
    <comment authorId="0" ref="X85">
      <text>
        <t xml:space="preserve">ABRIR CHAVE DO TRAFO: XXX P/ RECONDUTORAMENTO BT DO PG: R043377 - R043376 E ENERGIZAR OBRA.</t>
      </text>
    </comment>
    <comment authorId="0" ref="BA85">
      <text>
        <t xml:space="preserve">LV:
USAR EPI/EPC 13,8KV / SOLICITAR BLOQUEIO DO RL XXXX  / CRUZAMENTO DE LT/RD: N/A. 
LM:
USAR EPI/EPC 13,8KV / ATERRAMENTO: NA / BLOQUEIO RL N/A / CRUZAMENTO DE LT/RD: N/A.</t>
      </text>
    </comment>
    <comment authorId="0" ref="BI85">
      <text>
        <t xml:space="preserve">LV - JACOBINA
01. QTD EQUIPES 01 LV / 01 LM/ 02. AR U464710 - MANOEL GUSTAVO/ 03. SUBST MRA370581 - PATRICIO DA SILVA BARBOSA 92 991473742/ 04. SUBST NTS884580 - CARLOS ANDRE SANTOS DA SILVA/ 05. SUBST .NTS333599 - JUCELINO DOS SANTOS  06. SUBST .MRA252517 - LUCIANO NUNES DA SILVA  07.  SUBST .MRA554506- FABIANO LOPES MORAES  08. SUBST .MRA219559 - CAIQUE SILVA LIMA 09. SUBST . MRA177595- DIOGO CRUZ DOS SANTOS
GILVANDO:
LM JACOBINA:
01. QTD EQUIPES 01LM/ 02. AR U464710 - MANOEL GUSTAVO/ 03. RESP SUBST MRA252517 - LUCIANO NUNES DA SILVA / 04. R  MRA177595- DIOGO CRUZ DOS SANTOS ESP SUBST MRA554506- FABIANO LOPES MORAES / 05. RESP SUBST . 06. RESP SUBST .  07. RESP SUBST .MRA219559 - CAIQUE SILVA LIMA 08. RESP SUBST .NTS025538 - GILVANDO RIOS DA CRUZ 92 99521-6405 
</t>
      </text>
    </comment>
    <comment authorId="0" ref="V86">
      <text>
        <t xml:space="preserve">INTECALAR POSTE BT ENTRE OS PG: E051129 - E501130 E ENERGIZAR OBRA.</t>
      </text>
    </comment>
    <comment authorId="0" ref="BA86">
      <text>
        <t xml:space="preserve">LM:
USAR EPI/EPC 13,8KV / ATERRAMENTO: NA / BLOQUEIO RL N/A / CRUZAMENTO DE LT/RD: N/A.</t>
      </text>
    </comment>
    <comment authorId="0" ref="BI86">
      <text>
        <t xml:space="preserve">01. QTD EQUIPES 01LM/ 02. AR U464710 - MANOEL GUSTAVO/ 03. RESP SUBST MRA252517 - LUCIANO NUNES DA SILVA / 04. R  MRA177595- DIOGO CRUZ DOS SANTOS ESP SUBST MRA554506- FABIANO LOPES MORAES / 05. RESP SUBST . 06. RESP SUBST .  07. RESP SUBST .MRA219559 - CAIQUE SILVA LIMA 08. RESP SUBST .NTS025538 - GILVANDO RIOS DA CRUZ 92 99521-6405 </t>
      </text>
    </comment>
    <comment authorId="0" ref="V87">
      <text>
        <t xml:space="preserve">ENCABEÇAR RD BT NO PG: E268267 E ENERGIZAR OBRA.
</t>
      </text>
    </comment>
    <comment authorId="0" ref="BA87">
      <text>
        <t xml:space="preserve">LM:
USAR EPI/EPC 13,8KV / ATERRAMENTO: NA / BLOQUEIO RL N/A / CRUZAMENTO DE LT/RD: N/A.</t>
      </text>
    </comment>
    <comment authorId="0" ref="BI87">
      <text>
        <t xml:space="preserve">01. QTD EQUIPES 01LM/ 02. AR U464710 - MANOEL GUSTAVO/ 03. RESP SUBST MRA252517 - LUCIANO NUNES DA SILVA / 04. R  MRA177595- DIOGO CRUZ DOS SANTOS ESP SUBST MRA554506- FABIANO LOPES MORAES / 05. RESP SUBST . 06. RESP SUBST .  07. RESP SUBST .MRA219559 - CAIQUE SILVA LIMA 08. RESP SUBST .NTS025538 - GILVANDO RIOS DA CRUZ 92 99521-6405 </t>
      </text>
    </comment>
    <comment authorId="0" ref="S88">
      <text>
        <t xml:space="preserve">MONTAR BANCADA COM N3 NO PG: D099324, FECHAR CHAVE NOVA PRÓXIMO AO PG: D099324 E ENERGIZAR OBRA.
</t>
      </text>
    </comment>
    <comment authorId="0" ref="V88">
      <text>
        <t xml:space="preserve">FECHAR CHAVE NOVA PRÓXIMO AO PG: D099324 E ENERGIZAR OBRA.</t>
      </text>
    </comment>
    <comment authorId="0" ref="BA88">
      <text>
        <t xml:space="preserve">LV:
USAR EPI/EPC 13,8KV / SOLICITAR BLOQUEIO DO RL XXXX  / CRUZAMENTO DE LT/RD: N/A. 
LM:
USAR EPI/EPC 13,8KV / ATERRAMENTO: NA / BLOQUEIO RL N/A / CRUZAMENTO DE LT/RD: N/A.</t>
      </text>
    </comment>
    <comment authorId="0" ref="BI88">
      <text>
        <t xml:space="preserve">LV - JACOBINA
01. QTD EQUIPES 01 LV / 01 LM/ 02. AR U464710 - MANOEL GUSTAVO/ 03. SUBST MRA370581 - PATRICIO DA SILVA BARBOSA 92 991473742/ 04. SUBST NTS884580 - CARLOS ANDRE SANTOS DA SILVA/ 05. SUBST .NTS333599 - JUCELINO DOS SANTOS  06. SUBST .MRA252517 - LUCIANO NUNES DA SILVA  07.  SUBST .MRA554506- FABIANO LOPES MORAES  08. SUBST .MRA219559 - CAIQUE SILVA LIMA 09. SUBST . MRA177595- DIOGO CRUZ DOS SANTOS
GILVANDO:
LM JACOBINA:
01. QTD EQUIPES 01LM/ 02. AR U464710 - MANOEL GUSTAVO/ 03. RESP SUBST MRA252517 - LUCIANO NUNES DA SILVA / 04. R  MRA177595- DIOGO CRUZ DOS SANTOS ESP SUBST MRA554506- FABIANO LOPES MORAES / 05. RESP SUBST . 06. RESP SUBST .  07. RESP SUBST .MRA219559 - CAIQUE SILVA LIMA 08. RESP SUBST .NTS025538 - GILVANDO RIOS DA CRUZ 92 99521-6405 
</t>
      </text>
    </comment>
    <comment authorId="0" ref="V89">
      <text>
        <t xml:space="preserve">ENCABEÇAR RD BT NO PG: D212210 E ENERGIZAR OBRA.
</t>
      </text>
    </comment>
    <comment authorId="0" ref="BA89">
      <text>
        <t xml:space="preserve">LM:
USAR EPI/EPC 13,8KV / ATERRAMENTO: NA / BLOQUEIO RL N/A / CRUZAMENTO DE LT/RD: N/A.</t>
      </text>
    </comment>
    <comment authorId="0" ref="BI89">
      <text>
        <t xml:space="preserve">01. QTD EQUIPES 01LM/ 02. AR U464710 - MANOEL GUSTAVO/ 03. RESP SUBST MRA252517 - LUCIANO NUNES DA SILVA / 04. R  MRA177595- DIOGO CRUZ DOS SANTOS ESP SUBST MRA554506- FABIANO LOPES MORAES / 05. RESP SUBST . 06. RESP SUBST .  07. RESP SUBST .MRA219559 - CAIQUE SILVA LIMA 08. RESP SUBST .NTS025538 - GILVANDO RIOS DA CRUZ 92 99521-6405 </t>
      </text>
    </comment>
    <comment authorId="0" ref="S90">
      <text>
        <t xml:space="preserve">SUBSTITUIR POSTE 11/200 POR 11/400 NO PG: D316319, INTERCALAR POSTE AT COM N1 ENTRE OS PG: D316319 - D313613 E ENERGIZAR OBRA.</t>
      </text>
    </comment>
    <comment authorId="0" ref="V90">
      <text>
        <t xml:space="preserve">ENCABEÇAR RD BT NO PG: D313613 E ENERGIZAR OBRA.
</t>
      </text>
    </comment>
    <comment authorId="0" ref="BA90">
      <text>
        <t xml:space="preserve">LV:
USAR EPI/EPC 13,8KV / SOLICITAR BLOQUEIO DO RL XXXX  / CRUZAMENTO DE LT/RD: N/A. 
LM:
USAR EPI/EPC 13,8KV / ATERRAMENTO: NA / BLOQUEIO RL N/A / CRUZAMENTO DE LT/RD: N/A.</t>
      </text>
    </comment>
    <comment authorId="0" ref="BI90">
      <text>
        <t xml:space="preserve">LV - JACOBINA
01. QTD EQUIPES 01 LV / 01 LM/ 02. AR U464710 - MANOEL GUSTAVO/ 03. SUBST MRA370581 - PATRICIO DA SILVA BARBOSA 92 991473742/ 04. SUBST NTS884580 - CARLOS ANDRE SANTOS DA SILVA/ 05. SUBST .NTS333599 - JUCELINO DOS SANTOS  06. SUBST .MRA252517 - LUCIANO NUNES DA SILVA  07.  SUBST .MRA554506- FABIANO LOPES MORAES  08. SUBST .MRA219559 - CAIQUE SILVA LIMA 09. SUBST . MRA177595- DIOGO CRUZ DOS SANTOS
GILVANDO:
LM JACOBINA:
01. QTD EQUIPES 01LM/ 02. AR U464710 - MANOEL GUSTAVO/ 03. RESP SUBST MRA252517 - LUCIANO NUNES DA SILVA / 04. R  MRA177595- DIOGO CRUZ DOS SANTOS ESP SUBST MRA554506- FABIANO LOPES MORAES / 05. RESP SUBST . 06. RESP SUBST .  07. RESP SUBST .MRA219559 - CAIQUE SILVA LIMA 08. RESP SUBST .NTS025538 - GILVANDO RIOS DA CRUZ 92 99521-6405 
</t>
      </text>
    </comment>
    <comment authorId="0" ref="V91">
      <text>
        <t xml:space="preserve">ENCABEÇAR RD BT NO PG: D243508 E ENERGIZAR OBRA.
</t>
      </text>
    </comment>
    <comment authorId="0" ref="BA91">
      <text>
        <t xml:space="preserve">LM:
USAR EPI/EPC 13,8KV / ATERRAMENTO: NA / BLOQUEIO RL N/A / CRUZAMENTO DE LT/RD: N/A.</t>
      </text>
    </comment>
    <comment authorId="0" ref="BI91">
      <text>
        <t xml:space="preserve">01. QTD EQUIPES 01LM/ 02. AR U464710 - MANOEL GUSTAVO/ 03. RESP SUBST MRA252517 - LUCIANO NUNES DA SILVA / 04. R  MRA177595- DIOGO CRUZ DOS SANTOS ESP SUBST MRA554506- FABIANO LOPES MORAES / 05. RESP SUBST . 06. RESP SUBST .  07. RESP SUBST .MRA219559 - CAIQUE SILVA LIMA 08. RESP SUBST .NTS025538 - GILVANDO RIOS DA CRUZ 92 99521-6405 </t>
      </text>
    </comment>
    <comment authorId="0" ref="S92">
      <text>
        <t xml:space="preserve">INTERCALAR POSTE AT COM N1 E TRAFO ENTRE OS PG: L432077 - L432078, FECHAR CHAVE NOVA PRÓXIMO AO PG: L432077  E ENERGIZAR OBRA.
</t>
      </text>
    </comment>
    <comment authorId="0" ref="V92">
      <text>
        <t xml:space="preserve">FECHAR CHAVE NOVA PRÓXIMO AO PG: L432077  E ENERGIZAR OBRA.</t>
      </text>
    </comment>
    <comment authorId="0" ref="BA92">
      <text>
        <t xml:space="preserve">LV:
USAR EPI/EPC 13,8KV / SOLICITAR BLOQUEIO DO RL XXXX  / CRUZAMENTO DE LT/RD: N/A. 
LM:
USAR EPI/EPC 13,8KV / ATERRAMENTO: NA / BLOQUEIO RL N/A / CRUZAMENTO DE LT/RD: N/A.
</t>
      </text>
    </comment>
    <comment authorId="0" ref="BI92">
      <text>
        <t xml:space="preserve">LV - JACOBINA
01. QTD EQUIPES 01 LV / 01 LM/ 02. AR U460544 - NAILTON SANTANA/ 03. SUBST MRA370581 - PATRICIO DA SILVA BARBOSA 92 991473742/ 04. SUBST NTS884580 - CARLOS ANDRE SANTOS DA SILVA/ 05. SUBST .NTS333599 - JUCELINO DOS SANTOS  06. SUBST .MRA252517 - LUCIANO NUNES DA SILVA  07.  SUBST .MRA554506- FABIANO LOPES MORAES  08. SUBST . MRA177595- DIOGO CRUZ DOS SANTOS 09. SUBST .MRA219559 - CAIQUE SILVA LIMA
GILVANDO:
LM JACOBINA:
01. QTD EQUIPES 01LM/ 02. AR U460544 - NAILTON SANTANA/ 03. RESP SUBST MRA252517 - LUCIANO NUNES DA SILVA / 04. R  MRA177595- DIOGO CRUZ DOS SANTOS ESP SUBST MRA554506- FABIANO LOPES MORAES / 05. RESP SUBST . 06. RESP SUBST .  07. RESP SUBST .MRA219559 - CAIQUE SILVA LIMA 08. RESP SUBST .NTS025538 - GILVANDO RIOS DA CRUZ 92 99521-6405 </t>
      </text>
    </comment>
    <comment authorId="0" ref="V93">
      <text>
        <t xml:space="preserve">ENCABEÇAR RD BT NO PG: D093636 E ENERGIZAR OBRA.
</t>
      </text>
    </comment>
    <comment authorId="0" ref="BA93">
      <text>
        <t xml:space="preserve">USAR EPI/EPC 13,8KV / ATERRAMENTO: NA / BLOQUEIO RL N/A / CRUZAMENTO DE LT/RD: N/A.
</t>
      </text>
    </comment>
    <comment authorId="0" ref="BI93">
      <text>
        <t xml:space="preserve">01. QTD EQUIPE 01LM/ 02. AR U460544 - NAILTON SANTANA/ 03. SUB.MRA148601- CLEBSON REIS NETO/ 04. SUB. MRA666519-DOUGLAS DA SILVA MELO/ 05. SUB .MRA571535-GERALDO DA COSTA GOMES 06.SUB.MRA811574- JAILTON DA SILVA  07. SUB..MRA096553-RODRIGO STS. SILVA 08. SUB.MRA738523 - JULIO SERAFIM DAMACENO 09. MRA152590 - EMERSON DE CARVALHO  10.  .MRA258541- CARLOS CRUZ SANTANA 11.NTS219592 - JAIR DE JESUS </t>
      </text>
    </comment>
    <comment authorId="0" ref="V94">
      <text>
        <t xml:space="preserve">ENCABEÇAR RD BT NO PG: E761307 E ENERGIZAR OBRA.
</t>
      </text>
    </comment>
    <comment authorId="0" ref="BA94">
      <text>
        <t xml:space="preserve">USAR EPI/EPC 13,8KV / ATERRAMENTO: NA / BLOQUEIO RL N/A / CRUZAMENTO DE LT/RD: N/A.
</t>
      </text>
    </comment>
    <comment authorId="0" ref="BI94">
      <text>
        <t xml:space="preserve">LM JACOBINA:
01. QTD EQUIPE 01LM/ 02. AR U469504 - RAFAEL CRUZ/ 03. SUB.MRA148601- CLEBSON REIS NETO/ 04. SUB. MRA666519-DOUGLAS DA SILVA MELO/ 05. SUB .MRA571535-GERALDO DA COSTA GOMES 06.SUB.MRA811574- JAILTON DA SILVA  07. SUB..MRA096553-RODRIGO STS. SILVA 08. SUB.MRA738523 - JULIO SERAFIM DAMACENO 09. MRA152590 - EMERSON DE CARVALHO  10.  .MRA258541- CARLOS CRUZ SANTANA 11.NTS219592 - JAIR DE JESUS </t>
      </text>
    </comment>
    <comment authorId="0" ref="V95">
      <text>
        <t xml:space="preserve">INTRECALAR POSTE BT ENTRE OS PG: E225509 - E225510 E ENERGIZAR OBRA.</t>
      </text>
    </comment>
    <comment authorId="0" ref="BA95">
      <text>
        <t xml:space="preserve">USAR EPI/EPC  34,5KV / ATERRAMENTO: NA / BLOQUEIO RL N/A / CRUZAMENTO DE LT/RD: N/A.</t>
      </text>
    </comment>
    <comment authorId="0" ref="BI95">
      <text>
        <t xml:space="preserve">LM JACOBINA:
01. QTD EQUIPE 01LM/ 02. AR U469504 - RAFAEL CRUZ/ 03. SUB.MRA148601- CLEBSON REIS NETO/ 04. SUB. MRA666519-DOUGLAS DA SILVA MELO/ 05. SUB .MRA571535-GERALDO DA COSTA GOMES 06.SUB.MRA811574- JAILTON DA SILVA  07. SUB..MRA096553-RODRIGO STS. SILVA 08. SUB.MRA738523 - JULIO SERAFIM DAMACENO 09. MRA152590 - EMERSON DE CARVALHO  10.  .MRA258541- CARLOS CRUZ SANTANA 11.NTS219592 - JAIR DE JESUS </t>
      </text>
    </comment>
    <comment authorId="0" ref="V96">
      <text>
        <t xml:space="preserve">INTRECALAR POSTE BT ENTRE OS PG: L359960 - L359902 E ENERGIZAR OBRA.</t>
      </text>
    </comment>
    <comment authorId="0" ref="BA96">
      <text>
        <t xml:space="preserve">USAR EPI/EPC 13,8KV / ATERRAMENTO: NA / BLOQUEIO RL N/A / CRUZAMENTO DE LT/RD: N/A.
</t>
      </text>
    </comment>
    <comment authorId="0" ref="BI96">
      <text>
        <t xml:space="preserve">GILVANDO:
LM JACOBINA:
01. QTD EQUIPES 01LM/ 02. AR U464710 - MANOEL GUSTAVO/ 03. RESP SUBST MRA252517 - LUCIANO NUNES DA SILVA / 04. R  MRA177595- DIOGO CRUZ DOS SANTOS ESP SUBST MRA554506- FABIANO LOPES MORAES / 05. RESP SUBST . 06. RESP SUBST .  07. RESP SUBST .MRA219559 - CAIQUE SILVA LIMA 08. RESP SUBST .NTS025538 - GILVANDO RIOS DA CRUZ 92 99521-6405 </t>
      </text>
    </comment>
    <comment authorId="0" ref="S97">
      <text>
        <t xml:space="preserve">ALTERAR ESTRUTURA DE N3 P/ N4 NO PG: E786709, FECHAR CHAVE NOVA PRÓXIMO AO PG: E786709 E ENERGIZAR OBRA.
</t>
      </text>
    </comment>
    <comment authorId="0" ref="V97">
      <text>
        <t xml:space="preserve">FECHAR CHAVE NOVA PRÓXIMO AO PG: E786709 E ENERGIZAR OBRA.</t>
      </text>
    </comment>
    <comment authorId="0" ref="BA97">
      <text>
        <t xml:space="preserve">LV:
USAR EPI/EPC 13,8KV / SOLICITAR BLOQUEIO DO RL XXXX  / CRUZAMENTO DE LT/RD: N/A. 
LM:
USAR EPI/EPC 13,8KV / ATERRAMENTO: NA / BLOQUEIO RL N/A / CRUZAMENTO DE LT/RD: N/A.
</t>
      </text>
    </comment>
    <comment authorId="0" ref="BI97">
      <text>
        <t xml:space="preserve">LV - JACOBINA
01. QTD EQUIPES 01 LV / 01 LM/ 02. AR U465100 - RICARDO BRITO/ 03. SUBST MRA370581 - PATRICIO DA SILVA BARBOSA 92 991473742/ 04. SUBST NTS884580 - CARLOS ANDRE SANTOS DA SILVA/ 05. SUBST .NTS333599 - JUCELINO DOS SANTOS  06. SUBST .MRA666519-DOUGLAS DA SILVA MELO 07.  SUBST .MRA571535-GERALDO DA COSTA GOMES 08. SUBST .MRA666519-DOUGLAS DA SILVA MELO 09. SUBST .MRA148601- CLEBSON REIS NETO
LM JACOBINA:
01. QTD EQUIPE 01LM/ 02. AR U465100 - RICARDO BRITO/ 03. SUB.MRA148601- CLEBSON REIS NETO/ 04. SUB. MRA666519-DOUGLAS DA SILVA MELO/ 05. SUB .MRA571535-GERALDO DA COSTA GOMES 06.SUB.MRA811574- JAILTON DA SILVA  07. SUB..MRA096553-RODRIGO STS. SILVA 08. SUB.MRA738523 - JULIO SERAFIM DAMACENO 09. MRA152590 - EMERSON DE CARVALHO  10.  .MRA258541- CARLOS CRUZ SANTANA 11.NTS219592 - JAIR DE JESUS </t>
      </text>
    </comment>
    <comment authorId="0" ref="V98">
      <text>
        <t xml:space="preserve">ENCABEÇAR RD BT NO PG: B520236 E ENERGIZAR OBRA.
</t>
      </text>
    </comment>
    <comment authorId="0" ref="BA98">
      <text>
        <t xml:space="preserve">USAR EPI/EPC 13,8KV / ATERRAMENTO: NA / BLOQUEIO RL N/A / CRUZAMENTO DE LT/RD: N/A.
</t>
      </text>
    </comment>
    <comment authorId="0" ref="BI98">
      <text>
        <t xml:space="preserve">GILVANDO:
LM JACOBINA:
01. QTD EQUIPES 01LM/ 02. AR U460544 - NAILTON SANTANA/ 03. RESP SUBST MRA252517 - LUCIANO NUNES DA SILVA / 04. R  MRA177595- DIOGO CRUZ DOS SANTOS ESP SUBST MRA554506- FABIANO LOPES MORAES / 05. RESP SUBST . 06. RESP SUBST .  07. RESP SUBST .MRA219559 - CAIQUE SILVA LIMA 08. RESP SUBST .NTS025538 - GILVANDO RIOS DA CRUZ 92 99521-6405 </t>
      </text>
    </comment>
    <comment authorId="0" ref="S99">
      <text>
        <t xml:space="preserve">INTERCALAR POSTE AT COM N1 E TRAFO ENTRE OS PG: E567400 - E567401, FECHAR CHAVE NOVA PRÓXIMO AO PG: E567400  E ENERGIZAR OBRA.
</t>
      </text>
    </comment>
    <comment authorId="0" ref="V99">
      <text>
        <t xml:space="preserve">FECHAR CHAVE NOVA PRÓXIMO AO PG: E567400  E ENERGIZAR OBRA.</t>
      </text>
    </comment>
    <comment authorId="0" ref="BA99">
      <text>
        <t xml:space="preserve">LV:
USAR EPI/EPC 13,8KV / SOLICITAR BLOQUEIO DO RL XXXX  / CRUZAMENTO DE LT/RD: N/A. 
LM:
USAR EPI/EPC 13,8KV / ATERRAMENTO: NA / BLOQUEIO RL N/A / CRUZAMENTO DE LT/RD: N/A.
</t>
      </text>
    </comment>
    <comment authorId="0" ref="BI99">
      <text>
        <t xml:space="preserve">LV - JACOBINA
01. QTD EQUIPES 01 LV / 01 LM/ 02. AR U469504 - RAFAEL CRUZ/ 03. SUBST MRA370581 - PATRICIO DA SILVA BARBOSA 92 991473742/ 04. SUBST NTS884580 - CARLOS ANDRE SANTOS DA SILVA/ 05. SUBST .NTS333599 - JUCELINO DOS SANTOS  06. SUBST .MRA252517 - LUCIANO NUNES DA SILVA  07.  SUBST .MRA554506- FABIANO LOPES MORAES  08. SUBST . MRA177595- DIOGO CRUZ DOS SANTOS 09. SUBST .MRA219559 - CAIQUE SILVA LIMA
GILVANDO:
LM JACOBINA:
01. QTD EQUIPES 01LM/ 02. AR U469504 - RAFAEL CRUZ/ 03. RESP SUBST MRA252517 - LUCIANO NUNES DA SILVA / 04. R  MRA177595- DIOGO CRUZ DOS SANTOS ESP SUBST MRA554506- FABIANO LOPES MORAES / 05. RESP SUBST . 06. RESP SUBST .  07. RESP SUBST .MRA219559 - CAIQUE SILVA LIMA 08. RESP SUBST .NTS025538 - GILVANDO RIOS DA CRUZ 92 99521-6405 </t>
      </text>
    </comment>
    <comment authorId="0" ref="V100">
      <text>
        <t xml:space="preserve">ENCABEÇAR RD BT NO PG: B116691 E ENERGIZAR OBRA.
</t>
      </text>
    </comment>
    <comment authorId="0" ref="BA100">
      <text>
        <t xml:space="preserve">USAR EPI/EPC 13,8KV / ATERRAMENTO: NA / BLOQUEIO RL N/A / CRUZAMENTO DE LT/RD: N/A.
</t>
      </text>
    </comment>
    <comment authorId="0" ref="BI100">
      <text>
        <t xml:space="preserve">GILVANDO:
LM JACOBINA:
01. QTD EQUIPES 01LM/ 02. AR U464710 - MANOEL GUSTAVO/ 03. RESP SUBST MRA252517 - LUCIANO NUNES DA SILVA / 04. R  MRA177595- DIOGO CRUZ DOS SANTOS ESP SUBST MRA554506- FABIANO LOPES MORAES / 05. RESP SUBST . 06. RESP SUBST .  07. RESP SUBST .MRA219559 - CAIQUE SILVA LIMA 08. RESP SUBST .NTS025538 - GILVANDO RIOS DA CRUZ 92 99521-6405 </t>
      </text>
    </comment>
    <comment authorId="0" ref="V101">
      <text>
        <t xml:space="preserve">ENCABEÇAR RD BT NO PG: R020401 E ENERGIZAR OBRA.
</t>
      </text>
    </comment>
    <comment authorId="0" ref="BA101">
      <text>
        <t xml:space="preserve">USAR EPI/EPC 13,8KV / ATERRAMENTO: NA / BLOQUEIO RL N/A / CRUZAMENTO DE LT/RD: N/A.
</t>
      </text>
    </comment>
    <comment authorId="0" ref="BI101">
      <text>
        <t xml:space="preserve">GILVANDO:
LM JACOBINA:
01. QTD EQUIPES 01LM/ 02. AR U469504 - RAFAEL CRUZ/ 03. RESP SUBST MRA252517 - LUCIANO NUNES DA SILVA / 04. R  MRA177595- DIOGO CRUZ DOS SANTOS ESP SUBST MRA554506- FABIANO LOPES MORAES / 05. RESP SUBST . 06. RESP SUBST .  07. RESP SUBST .MRA219559 - CAIQUE SILVA LIMA 08. RESP SUBST .NTS025538 - GILVANDO RIOS DA CRUZ 92 99521-6405 </t>
      </text>
    </comment>
    <comment authorId="0" ref="S102">
      <text>
        <t xml:space="preserve">INTERCALAR 02 POSTES AT COM N1 ENTRE OS PG: D317384 - D319725, ENCABEÇAR RD BT NO PG: D317380 E ENERGIZAR OBRA.
</t>
      </text>
    </comment>
    <comment authorId="0" ref="V102">
      <text>
        <t xml:space="preserve">ENCABEÇAR RD BT NO PG: D317380 E ENERGIZAR OBRA.</t>
      </text>
    </comment>
    <comment authorId="0" ref="BA102">
      <text>
        <t xml:space="preserve">LV:
USAR EPI/EPC  34,5KV/ SOLICITAR BLOQUEIO DO RL XXXX  / CRUZAMENTO DE LT/RD: N/A.               
LM:  
USAR EPI/EPC  34,5KV / ATERRAMENTO: NA / BLOQUEIO RL N/A / CRUZAMENTO DE LT/RD: N/A.</t>
      </text>
    </comment>
    <comment authorId="0" ref="BI102">
      <text>
        <t xml:space="preserve">LV - JACOBINA
01. QTD EQUIPES 01 LV / 01 LM/ 02. AR U464710 - MANOEL GUSTAVO/ 03. SUBST MRA370581 - PATRICIO DA SILVA BARBOSA 92 991473742/ 04. SUBST NTS884580 - CARLOS ANDRE SANTOS DA SILVA/ 05. SUBST .NTS333599 - JUCELINO DOS SANTOS  06. SUBST .MRA252517 - LUCIANO NUNES DA SILVA  07.  SUBST .MRA554506- FABIANO LOPES MORAES  08. SUBST . MRA177595- DIOGO CRUZ DOS SANTOS 09. SUBST .MRA219559 - CAIQUE SILVA LIMA
GILVANDO:
LM JACOBINA:
01. QTD EQUIPES 01LM/ 02. AR U464710 - MANOEL GUSTAVO/ 03. RESP SUBST MRA252517 - LUCIANO NUNES DA SILVA / 04. R  MRA177595- DIOGO CRUZ DOS SANTOS ESP SUBST MRA554506- FABIANO LOPES MORAES / 05. RESP SUBST . 06. RESP SUBST .  07. RESP SUBST .MRA219559 - CAIQUE SILVA LIMA 08. RESP SUBST .NTS025538 - GILVANDO RIOS DA CRUZ 92 99521-6405 </t>
      </text>
    </comment>
    <comment authorId="0" ref="S103">
      <text>
        <t xml:space="preserve">INTERCALAR 03 POSTES AT COM N1 ENTRE OS PG: D321199 - D321197,  ENCABEÇAR RD BT NO PG: D321199  E ENERGIZAR OBRA.
</t>
      </text>
    </comment>
    <comment authorId="0" ref="V103">
      <text>
        <t xml:space="preserve">ENCABEÇAR RD BT NO PG: D321199  E ENERGIZAR OBRA.
</t>
      </text>
    </comment>
    <comment authorId="0" ref="BA103">
      <text>
        <t xml:space="preserve">LV:
USAR EPI/EPC 13,8KV / SOLICITAR BLOQUEIO DO RL XXXX  / CRUZAMENTO DE LT/RD: N/A. 
LM:
USAR EPI/EPC 13,8KV / ATERRAMENTO: NA / BLOQUEIO RL N/A / CRUZAMENTO DE LT/RD: N/A.
</t>
      </text>
    </comment>
    <comment authorId="0" ref="BI103">
      <text>
        <t xml:space="preserve">LV - JACOBINA
01. QTD EQUIPES 01 LV / 01 LM/ 02. AR U464710 - MANOEL GUSTAVO/ 03. SUBST MRA370581 - PATRICIO DA SILVA BARBOSA 92 991473742/ 04. SUBST NTS884580 - CARLOS ANDRE SANTOS DA SILVA/ 05. SUBST .NTS333599 - JUCELINO DOS SANTOS  06. SUBST .MRA252517 - LUCIANO NUNES DA SILVA  07.  SUBST .MRA554506- FABIANO LOPES MORAES  08. SUBST . MRA177595- DIOGO CRUZ DOS SANTOS 09. SUBST .MRA219559 - CAIQUE SILVA LIMA
GILVANDO:
LM JACOBINA:
01. QTD EQUIPES 01LM/ 02. AR U464710 - MANOEL GUSTAVO/ 03. RESP SUBST MRA252517 - LUCIANO NUNES DA SILVA / 04. R  MRA177595- DIOGO CRUZ DOS SANTOS ESP SUBST MRA554506- FABIANO LOPES MORAES / 05. RESP SUBST . 06. RESP SUBST .  07. RESP SUBST .MRA219559 - CAIQUE SILVA LIMA 08. RESP SUBST .NTS025538 - GILVANDO RIOS DA CRUZ 92 99521-6405 </t>
      </text>
    </comment>
  </commentList>
</comments>
</file>

<file path=xl/sharedStrings.xml><?xml version="1.0" encoding="utf-8"?>
<sst xmlns="http://schemas.openxmlformats.org/spreadsheetml/2006/main" count="6077" uniqueCount="2805">
  <si>
    <t>S</t>
  </si>
  <si>
    <t>MAR/26</t>
  </si>
  <si>
    <t>UTD JACOBINA</t>
  </si>
  <si>
    <t>QUADRO ENERG.</t>
  </si>
  <si>
    <t>PLANO 7</t>
  </si>
  <si>
    <t>NÃO ATENDE UC</t>
  </si>
  <si>
    <t>PINTAR DATA DE</t>
  </si>
  <si>
    <t>PINTAR DE VERDE</t>
  </si>
  <si>
    <t>MÉDIA P/T</t>
  </si>
  <si>
    <t>Contrato JACOBINA:</t>
  </si>
  <si>
    <t>CARTEIRA 2025</t>
  </si>
  <si>
    <t>PLANO 14.4.12.1-LPT</t>
  </si>
  <si>
    <t>LPT DEFINITIVO - ATENDE UC</t>
  </si>
  <si>
    <t>VERDE QUANDO</t>
  </si>
  <si>
    <t>QUANDO LIGADOS</t>
  </si>
  <si>
    <t>QTD. OBRAS</t>
  </si>
  <si>
    <t>PLANO 14.7.3-LPT</t>
  </si>
  <si>
    <t>LPT PROVISÓRIO - TEM QUE VALIDAR UC</t>
  </si>
  <si>
    <t>CRIADAS</t>
  </si>
  <si>
    <t>TOTAIS:</t>
  </si>
  <si>
    <t>MAPA GERAL</t>
  </si>
  <si>
    <t>NOTA</t>
  </si>
  <si>
    <t>PEP OBRA</t>
  </si>
  <si>
    <t>PEP KIT</t>
  </si>
  <si>
    <t>PEP MED</t>
  </si>
  <si>
    <t>TÍTULO</t>
  </si>
  <si>
    <t>MUNICIPIO</t>
  </si>
  <si>
    <t>STATUS DA OBRA</t>
  </si>
  <si>
    <t>OBS STATUS</t>
  </si>
  <si>
    <t>ENCARREGADO</t>
  </si>
  <si>
    <t>SUPERVISOR</t>
  </si>
  <si>
    <t>AR
 COELBA</t>
  </si>
  <si>
    <t>PLANO
 INVESTIMENTO</t>
  </si>
  <si>
    <t>CRITERIO</t>
  </si>
  <si>
    <t>VISITA PRÉVIA</t>
  </si>
  <si>
    <t>OBS. VISITA</t>
  </si>
  <si>
    <t>ANÁLISE
 PROJETO
 PRÉ-FECH.</t>
  </si>
  <si>
    <t>SOLICITAÇÃO DE RESERVA</t>
  </si>
  <si>
    <t>DATA SAQUE
 MATERIAIS</t>
  </si>
  <si>
    <t>PES
 LV</t>
  </si>
  <si>
    <t>VENCIMENTO</t>
  </si>
  <si>
    <t>PES
LM</t>
  </si>
  <si>
    <t>PES
 ENERGIZAÇÃO</t>
  </si>
  <si>
    <r>
      <rPr>
        <rFont val="Arial"/>
        <b/>
        <color rgb="FF1155CC"/>
        <sz val="9.0"/>
        <u/>
      </rPr>
      <t>PES</t>
    </r>
    <r>
      <rPr>
        <rFont val="Calibri, sans-serif"/>
        <b/>
        <color rgb="FF000000"/>
        <sz val="9.0"/>
      </rPr>
      <t xml:space="preserve">
 P</t>
    </r>
    <r>
      <rPr>
        <rFont val="Calibri, sans-serif"/>
        <b/>
        <color rgb="FF000000"/>
        <sz val="9.0"/>
      </rPr>
      <t>D</t>
    </r>
  </si>
  <si>
    <t>DATA
 PD</t>
  </si>
  <si>
    <t>STATUS
 PES PD</t>
  </si>
  <si>
    <t>SI PG</t>
  </si>
  <si>
    <t>PG's</t>
  </si>
  <si>
    <t>CLIENTES
 PREVISTOS</t>
  </si>
  <si>
    <t>QTD. UC'S VALIDADAS LPT</t>
  </si>
  <si>
    <t>POSTES
 PREVISTOS</t>
  </si>
  <si>
    <t>CAVA REALIZADA</t>
  </si>
  <si>
    <t>POSTES
 REALIZADO</t>
  </si>
  <si>
    <t>POSTES
 À IMPLANTA</t>
  </si>
  <si>
    <t>AVNR</t>
  </si>
  <si>
    <t>AVNP</t>
  </si>
  <si>
    <t>INCIO
 PREVISTO</t>
  </si>
  <si>
    <t>FIM
 PREVISTO</t>
  </si>
  <si>
    <t>REPROGRAMAÇÃO FIM</t>
  </si>
  <si>
    <t>DATA
 ENERGIZAÇÃO REAL</t>
  </si>
  <si>
    <t>OC DE ENERG.</t>
  </si>
  <si>
    <t>PG
 REFERÊNCIA</t>
  </si>
  <si>
    <t>LATITUDE</t>
  </si>
  <si>
    <t>LONGITUDE</t>
  </si>
  <si>
    <t>VALOR DE PROJETO</t>
  </si>
  <si>
    <t>VALOR DE SERVIÇO</t>
  </si>
  <si>
    <t>CÓDIGO
 EQUIPE</t>
  </si>
  <si>
    <t>PROVAVEL ROCHA</t>
  </si>
  <si>
    <t>CABO 1B25</t>
  </si>
  <si>
    <t>CABO 3B35</t>
  </si>
  <si>
    <t>OBS</t>
  </si>
  <si>
    <t>AVALIAÇÃO SERVIÇO</t>
  </si>
  <si>
    <t>SUBESTAÇÃO
 ALIMENTADOR</t>
  </si>
  <si>
    <t>CHAVE
 PRINCIPAL</t>
  </si>
  <si>
    <t>CHAVE PD</t>
  </si>
  <si>
    <t>QTD. UC'S</t>
  </si>
  <si>
    <t>VIP</t>
  </si>
  <si>
    <t>QTD. H
 DP</t>
  </si>
  <si>
    <t>CHI</t>
  </si>
  <si>
    <t>LOCAIS 
 ATINGIDOS</t>
  </si>
  <si>
    <t>PG
REFERÊNCIA</t>
  </si>
  <si>
    <t>SERVIÇO</t>
  </si>
  <si>
    <t>RASCUNHO</t>
  </si>
  <si>
    <t>DATA SAQUE MAT. LC</t>
  </si>
  <si>
    <t>DATA EXECUÇÃO LC</t>
  </si>
  <si>
    <t>TURMA LC</t>
  </si>
  <si>
    <t>NÃO ELIMINAR ESTA COLUNA</t>
  </si>
  <si>
    <t>PROGRAMAÇÃO LV</t>
  </si>
  <si>
    <t>B-1136005</t>
  </si>
  <si>
    <t>ER-CIND-FAZ-CANAVIAL-ITALEGRE</t>
  </si>
  <si>
    <t>BAIXA GRANDE</t>
  </si>
  <si>
    <t>LPT</t>
  </si>
  <si>
    <t>SOLICITAR</t>
  </si>
  <si>
    <t>N/A</t>
  </si>
  <si>
    <t>CRIAR</t>
  </si>
  <si>
    <t>E956768 AO E956772</t>
  </si>
  <si>
    <t>L432598</t>
  </si>
  <si>
    <t>-11.961051</t>
  </si>
  <si>
    <t xml:space="preserve"> -40.223323</t>
  </si>
  <si>
    <t>MUN-01N4</t>
  </si>
  <si>
    <t>T15928</t>
  </si>
  <si>
    <t>ENCABEÇAR RD BT NO PG: L432598 E ENERGIZAR OBRA.</t>
  </si>
  <si>
    <t>.</t>
  </si>
  <si>
    <t>B-1246148</t>
  </si>
  <si>
    <t>RR-CIND-POV-BARRO VERMELHO-RURAL</t>
  </si>
  <si>
    <t>QLP</t>
  </si>
  <si>
    <t xml:space="preserve">SOLICITAR </t>
  </si>
  <si>
    <t>1050244</t>
  </si>
  <si>
    <t>E974759 AO E974764/ E957969 AO E957972</t>
  </si>
  <si>
    <t>L434970</t>
  </si>
  <si>
    <t xml:space="preserve"> -11.976232</t>
  </si>
  <si>
    <t xml:space="preserve"> -40.144518</t>
  </si>
  <si>
    <t>H76119</t>
  </si>
  <si>
    <t>INTERCALAR POSTE AT COM N1-3 ENTRE OS PG: L434970 - L434969, FECHAR CHAVE NOVA PRÓXIMO AO PG: L434970  E ENERGIZAR OBRA.</t>
  </si>
  <si>
    <t>B-1243250</t>
  </si>
  <si>
    <t>ER-CIND-POV-CONCEICAO-CONCEICAO</t>
  </si>
  <si>
    <t>E956763</t>
  </si>
  <si>
    <t>D217416</t>
  </si>
  <si>
    <t xml:space="preserve">-11.999163 </t>
  </si>
  <si>
    <t>-40.121585</t>
  </si>
  <si>
    <t>H80951</t>
  </si>
  <si>
    <t>INTERCALAR POSTE AT COM N1 E TRAFO ENTRE OS PG: D217416 - D217415, FECHAR CHAVE NOVA PRÓXIMO AO PG: D217416  E ENERGIZAR OBRA.</t>
  </si>
  <si>
    <t>B-1161434</t>
  </si>
  <si>
    <t>ER-CIND-FAZ-GENIPAPO-RURAL-BAIXA GRANDE</t>
  </si>
  <si>
    <t>RETIRADA DA CARTEIRA</t>
  </si>
  <si>
    <t>EM EXECUÇÃO DA CARTEIRA DE FEV/26.</t>
  </si>
  <si>
    <t>OUTROS</t>
  </si>
  <si>
    <t>B-1238225</t>
  </si>
  <si>
    <t>AL-MCM-01J5-CONSTR-ETAPA-1</t>
  </si>
  <si>
    <t>MIGUEL CALMON</t>
  </si>
  <si>
    <t>OBRA AINDA SEM CARTEIRA DEFINIDA
PROJETO REVISADO. CAMINHAMENTO EM CIRCUITO DUPLO.</t>
  </si>
  <si>
    <t>NAILTON SANTANA PEREIRA FILHO - U344575</t>
  </si>
  <si>
    <t>PLANO 1.2</t>
  </si>
  <si>
    <t>AL/MELHORAMENTO</t>
  </si>
  <si>
    <t xml:space="preserve">AGUARDANDO 
ANÁLISE </t>
  </si>
  <si>
    <t>1048504</t>
  </si>
  <si>
    <t>E958210 AO E958269</t>
  </si>
  <si>
    <t>B355964</t>
  </si>
  <si>
    <t>-11.403443</t>
  </si>
  <si>
    <t>-40.595049</t>
  </si>
  <si>
    <t>MCM-01J4</t>
  </si>
  <si>
    <t>G12584</t>
  </si>
  <si>
    <t>B-1237604</t>
  </si>
  <si>
    <t>AL-MCM-01J5-CONSTR-ETAPA-2</t>
  </si>
  <si>
    <t>OBRA AINDA SEM CARTEIRA DEFINIDA</t>
  </si>
  <si>
    <t>E958270 AO E958379</t>
  </si>
  <si>
    <t>R036999</t>
  </si>
  <si>
    <t>-11.339545</t>
  </si>
  <si>
    <t>-40.609709</t>
  </si>
  <si>
    <t>G12561</t>
  </si>
  <si>
    <t>R034898</t>
  </si>
  <si>
    <t>B-0649462</t>
  </si>
  <si>
    <t>ME - ADF. POV. MAXIXE</t>
  </si>
  <si>
    <t>R032902</t>
  </si>
  <si>
    <t>-11.470889</t>
  </si>
  <si>
    <t>-40.735028</t>
  </si>
  <si>
    <t>MCM-01J3</t>
  </si>
  <si>
    <t>J08303</t>
  </si>
  <si>
    <t>ADICIONAR FASE DO PG: R032902 AO R031899, INTERCALAR PT AT C/ N4 CFU ENTRE OS PG: R031909 -  E ENERGIZAR OBRA.</t>
  </si>
  <si>
    <t>2026-23653</t>
  </si>
  <si>
    <t>B-0879015</t>
  </si>
  <si>
    <t>MP-CIND-POV LAGOA GRANDE-RURAL-MGC</t>
  </si>
  <si>
    <t>CANCELADA</t>
  </si>
  <si>
    <t>OBRA JÁ EXECUTADA ATRAVÉS DO PROJETO Y-0982612 - MP - CCOL - POV. LAGOA GRANDE - RURAL - MIGUEL CALMON
LAUDO DE CANCELAMENTO NO GEOEB</t>
  </si>
  <si>
    <t>AIC AUDITORIA</t>
  </si>
  <si>
    <t>B-1115207</t>
  </si>
  <si>
    <t>AC-CIND-POV-MOCAMBO</t>
  </si>
  <si>
    <t>RETIRADA DA CARTEIRA PELA COELBA - FALTA DE MATERIAIS
REGULARIZAÇÃO DE MEDIDOR AO TEMPO</t>
  </si>
  <si>
    <t>R030542</t>
  </si>
  <si>
    <t>-11.2871714</t>
  </si>
  <si>
    <t xml:space="preserve">  -40.8255382</t>
  </si>
  <si>
    <t>B-1176892</t>
  </si>
  <si>
    <t>AC-CIND-POV-CAMPO DA SILVA -RURAL</t>
  </si>
  <si>
    <t>REGULARIZAÇÃO DE MEDIDOR AO TEMPO</t>
  </si>
  <si>
    <t>E956764 e E956765</t>
  </si>
  <si>
    <t>B539332</t>
  </si>
  <si>
    <t>-11.427130</t>
  </si>
  <si>
    <t>-40.503445</t>
  </si>
  <si>
    <t>MCM-01J2</t>
  </si>
  <si>
    <t>J12992</t>
  </si>
  <si>
    <t>ENCABEÇAR RD BT NO PG: B539332 E ENERGIZAR OBRA.</t>
  </si>
  <si>
    <t>B-1238780</t>
  </si>
  <si>
    <t>ER-SEIN-RUA-TAMANCO 1800-CURRAL VELHO</t>
  </si>
  <si>
    <t>ANTECIPADA PARA FEV/26
OBRA SERÁ EXECUTADA NA CARTEIRA DE FEV/26</t>
  </si>
  <si>
    <t>GOVERNO</t>
  </si>
  <si>
    <t>B-1235157</t>
  </si>
  <si>
    <t>RR-CIND-POV-MACAUBAS 53-RURAL MOD</t>
  </si>
  <si>
    <t>1050249</t>
  </si>
  <si>
    <t>E974603 AO E974665</t>
  </si>
  <si>
    <t>E388736</t>
  </si>
  <si>
    <t>-11.373322</t>
  </si>
  <si>
    <t xml:space="preserve"> -40.783204</t>
  </si>
  <si>
    <t>V02731</t>
  </si>
  <si>
    <t>B992842</t>
  </si>
  <si>
    <t>ALTERAR ESTRUTURA DE N3 P/ N4 NO PG: B992842, FECHAR CHAVE NOVA PRÓXIMO AO PG: B992842 E ENERGIZAR OBRA.</t>
  </si>
  <si>
    <t>2026-23655</t>
  </si>
  <si>
    <t>B-1120297</t>
  </si>
  <si>
    <t>IS-COEL-AV-ODONEL RIOS-CENTRO-MIG CALMON</t>
  </si>
  <si>
    <t>MELHORAMENTO // OBRA URBANA //  NO CENTRO</t>
  </si>
  <si>
    <t>PLANO 8</t>
  </si>
  <si>
    <t>INTERV. DE SEGURANÇA</t>
  </si>
  <si>
    <t>R032031</t>
  </si>
  <si>
    <t>-11.4312542</t>
  </si>
  <si>
    <t xml:space="preserve"> -40.5955886</t>
  </si>
  <si>
    <t>B-0816186</t>
  </si>
  <si>
    <t>ME-CIND-POV. CABORONGA-RURAL ADF</t>
  </si>
  <si>
    <t>SEM PROJETO MAGNÉTICO NEM LEVANTAMENTO NO GEOEX.</t>
  </si>
  <si>
    <t>B-1173379</t>
  </si>
  <si>
    <t>ER-CIND-RUA-VARZEA DOS BOIS-CENTRO</t>
  </si>
  <si>
    <t>B-1120112</t>
  </si>
  <si>
    <t>LD CIND FAZ TANQUE NOVO RURAL</t>
  </si>
  <si>
    <t>MUNDO NOVO</t>
  </si>
  <si>
    <t>RETIRADA DA CARTEIRA PELA COELBA - FALTA DE MATERIAIS
VERIFICAR SE TEM ACESSO PARA CAMINHÃO LV.</t>
  </si>
  <si>
    <t>L392615</t>
  </si>
  <si>
    <t>-12.071877</t>
  </si>
  <si>
    <t>-40.461241</t>
  </si>
  <si>
    <t>B-1119761</t>
  </si>
  <si>
    <t>IE-GRUA FAZ.ALTO ALEGRE MOOD-RURAL</t>
  </si>
  <si>
    <t>INST. RELIGADOR DE LINHA</t>
  </si>
  <si>
    <t>AGUARDANDO 
ANÁLISE</t>
  </si>
  <si>
    <t>D262200</t>
  </si>
  <si>
    <t>-11.862749</t>
  </si>
  <si>
    <t>-40.487260</t>
  </si>
  <si>
    <t>B-1072445</t>
  </si>
  <si>
    <t>B-1141998</t>
  </si>
  <si>
    <t>B-1141997</t>
  </si>
  <si>
    <t>ER-CIND-FAZ-UMBUZEIRO-RURAL</t>
  </si>
  <si>
    <t>RETIRADA DA CARTEIRA PELA COELBA - FALTA DE MATERIAIS</t>
  </si>
  <si>
    <t>E933036 AO E933044</t>
  </si>
  <si>
    <t>D548038</t>
  </si>
  <si>
    <t>-11,666902</t>
  </si>
  <si>
    <t xml:space="preserve"> -40,380120</t>
  </si>
  <si>
    <t>MUN-01N6 2#4</t>
  </si>
  <si>
    <t>W65651</t>
  </si>
  <si>
    <t>INTERCALAR POSTE AT COM N1-3 ENTRE OS PG: D548039 - D548038, FECHAR CHAVE NOVA PRÓBIMO AO PG: D548038 E ENERGIZAR OBRA.</t>
  </si>
  <si>
    <t>B-1063581</t>
  </si>
  <si>
    <t>ER-CIND-RUA-JEQUITIBA-RURAL</t>
  </si>
  <si>
    <t>E956729 AO E956732</t>
  </si>
  <si>
    <t>D715524</t>
  </si>
  <si>
    <t>-12.053776</t>
  </si>
  <si>
    <t xml:space="preserve">-40.496625 </t>
  </si>
  <si>
    <t>B-1009274</t>
  </si>
  <si>
    <t>IE-REGULADOR-MUN-01N5-T20539</t>
  </si>
  <si>
    <t>INST. REGULADORES</t>
  </si>
  <si>
    <t>L276481</t>
  </si>
  <si>
    <t>-11.809883</t>
  </si>
  <si>
    <t>-40.436864</t>
  </si>
  <si>
    <t>B-1244188</t>
  </si>
  <si>
    <t>ER-CIND-POV-BURRO BOM-RURAL</t>
  </si>
  <si>
    <t>1050250</t>
  </si>
  <si>
    <t>E974673 AO E974692</t>
  </si>
  <si>
    <t>A467929</t>
  </si>
  <si>
    <t>-12.080572</t>
  </si>
  <si>
    <t>-40.822991</t>
  </si>
  <si>
    <t>TPM-01Z1</t>
  </si>
  <si>
    <t>H32986</t>
  </si>
  <si>
    <t>INTERCALAR POSTE AT COM N1-3 ENTRE OS PG: A467930 - A467929, FECHAR CHAVE NOVA PRÓXIMO AO PG: A467930  E ENERGIZAR OBRA.</t>
  </si>
  <si>
    <t>2026-23656</t>
  </si>
  <si>
    <t>B-1244550</t>
  </si>
  <si>
    <t>ER-CIND-FAZ-LAGOA DO MILHO-LAGOA DO MILH</t>
  </si>
  <si>
    <t>MUN-01N6</t>
  </si>
  <si>
    <t>W11832</t>
  </si>
  <si>
    <t>D244767</t>
  </si>
  <si>
    <t>INTERCALAR POSTE AT COM N1 E TRAFO ENTRE OS PG: D244767 - D244768, FECHAR CHAVE NOVA PRÓXIMO AO PG: D244767 E ENERGIZAR OBRA.</t>
  </si>
  <si>
    <t>2026-23658</t>
  </si>
  <si>
    <t>B-1242264</t>
  </si>
  <si>
    <t>ER-CIND-POV-DE IBIAPORA 135-RURAL</t>
  </si>
  <si>
    <t>1050251</t>
  </si>
  <si>
    <t>E974693 AO E974715</t>
  </si>
  <si>
    <t>D093566</t>
  </si>
  <si>
    <t>-12.037555</t>
  </si>
  <si>
    <t>-40.835501</t>
  </si>
  <si>
    <t>W51280</t>
  </si>
  <si>
    <t>INTERCALAR POSTE AT COM N1-3 ENTRE OS PG: D093566 - D093567, FECHAR CHAVE NOVA PRÓXIMO AO PG: D093567 E ENERGIZAR OBRA.</t>
  </si>
  <si>
    <t>2026-23660</t>
  </si>
  <si>
    <t>B-1244752</t>
  </si>
  <si>
    <t>ER-CIND-TRV-DO COLEGIO-RURAL</t>
  </si>
  <si>
    <t>D383767</t>
  </si>
  <si>
    <t>-11.671931</t>
  </si>
  <si>
    <t xml:space="preserve"> -40.371607</t>
  </si>
  <si>
    <t>ABRIR CHAVE: N02285  P/ ADICIONAR FASE DO PG: D535239 AO D535237, SUBST. TF: N12476, SUBST. RD BT AT O PG: D535237 E  ENERGIZAR OBRA.</t>
  </si>
  <si>
    <t>B-1239657</t>
  </si>
  <si>
    <t>AC-CCOL-FAZ-NOVA FLORESTA-RURAL MOD</t>
  </si>
  <si>
    <t>OUROLÂNDIA</t>
  </si>
  <si>
    <t>SEM PROJETO MAGNÉTICO NO GEOEX, APENAS LEVANTAMENTO.</t>
  </si>
  <si>
    <t>REPUTACIONAL</t>
  </si>
  <si>
    <t>B-1244900</t>
  </si>
  <si>
    <t>AC-CIND-RUA-FLORISVALDO L DE OLI-CENTRO</t>
  </si>
  <si>
    <t>B923188</t>
  </si>
  <si>
    <t>-10.854303</t>
  </si>
  <si>
    <t>-41.379159</t>
  </si>
  <si>
    <t>OUL-01M1</t>
  </si>
  <si>
    <t>H63358</t>
  </si>
  <si>
    <t>ENCABEÇAR RD BT NO PG: B923188 E ENERGIZAR OBRA.</t>
  </si>
  <si>
    <t>B-1130735</t>
  </si>
  <si>
    <t>ER-CCOL-POV-VERDADEIRA-VERDADEIRA</t>
  </si>
  <si>
    <t>UMBURANAS</t>
  </si>
  <si>
    <t>B-1132638</t>
  </si>
  <si>
    <t>ER-CIND-POV-SAO JOSE-RURAL</t>
  </si>
  <si>
    <t>E956775 AO E956777</t>
  </si>
  <si>
    <t>UBR-01C1</t>
  </si>
  <si>
    <t>J59389</t>
  </si>
  <si>
    <t>D103574</t>
  </si>
  <si>
    <t>INTERCALAR POSTE AT COM N1 ENTRE OS PG: D103574 - D103578, ENCABEÇAR RD BT NO PG: R071904 E ENERGIZAR OBRA.</t>
  </si>
  <si>
    <t>B-1222009</t>
  </si>
  <si>
    <t>MP-CIND-POV-ANGICAL-VERDADEIRA</t>
  </si>
  <si>
    <t>1050252</t>
  </si>
  <si>
    <t>E974716 AO E974725</t>
  </si>
  <si>
    <t>V35044</t>
  </si>
  <si>
    <t>E106998</t>
  </si>
  <si>
    <t>MONTAR BANCADA COM N3 NO PG: E106998 E ENERGIZAR OBRA.</t>
  </si>
  <si>
    <t>B-1208480</t>
  </si>
  <si>
    <t>ER-CIND-POV-POTES 5528-POTES MOD</t>
  </si>
  <si>
    <t>B-1238566</t>
  </si>
  <si>
    <t>ER-CIND-POV-VARZEA DE DENTRO-DELFINO-MOD</t>
  </si>
  <si>
    <t>B-1246232</t>
  </si>
  <si>
    <t>AL-SE-UBR-AMPLIA O-R026798</t>
  </si>
  <si>
    <t>INTERVENÇÃO DE LV DENTRO SE UBR-01C1</t>
  </si>
  <si>
    <t>PLANO 1</t>
  </si>
  <si>
    <t>D702302</t>
  </si>
  <si>
    <t>-10.71903532</t>
  </si>
  <si>
    <t>-41.31470695</t>
  </si>
  <si>
    <t>B-1244756</t>
  </si>
  <si>
    <t>ER-CIND-POV-VARZEA DE DENTRO-RURAL</t>
  </si>
  <si>
    <t>1050253</t>
  </si>
  <si>
    <t>E974726 AO E974758</t>
  </si>
  <si>
    <t>R071827</t>
  </si>
  <si>
    <t>-10.274730</t>
  </si>
  <si>
    <t>-41.042781</t>
  </si>
  <si>
    <t>J08479</t>
  </si>
  <si>
    <t>INTERCALAR POSTE AT COM N1-3 ENTRE OS PG: R071827 - R071828, FECHAR CHAVE NOVA PRÓXIMO AO PG: R071827  E ENERGIZAR OBRA.</t>
  </si>
  <si>
    <t>B-1168420</t>
  </si>
  <si>
    <t>ER-CIND-POV-ABENGOADA 4444-RURAL V NOVA</t>
  </si>
  <si>
    <t>VÁRZEA NOVA</t>
  </si>
  <si>
    <t>E517384</t>
  </si>
  <si>
    <t>-11.013217</t>
  </si>
  <si>
    <t>-41.163311</t>
  </si>
  <si>
    <t>JCB-09N4</t>
  </si>
  <si>
    <t>D00497</t>
  </si>
  <si>
    <t>ENCABEÇAR RD BT NO PG: E517380 E ENERGIZAR OBRA.</t>
  </si>
  <si>
    <t>B-1047990</t>
  </si>
  <si>
    <t>AC-CIND-POV-MOCOZEIRA 180-RURAL</t>
  </si>
  <si>
    <t>ADF DE 1,8KM E SUBST. TRAFO 2F-10KVA POR  3F-30KVA
OBRA JÁ CONSTRUÍDA ATRAVÉS DO PROJETO: B-1135277 - AC-CIND-POV-MOCOZEIRA-RURAL - VÁRZEA NOVA</t>
  </si>
  <si>
    <t>D738542</t>
  </si>
  <si>
    <t>-11.247387</t>
  </si>
  <si>
    <t>-40.996289</t>
  </si>
  <si>
    <t>B-1063724</t>
  </si>
  <si>
    <t>AC-CIND-FAZ-NOVA CONCEICAO-NOVA CONCEICA</t>
  </si>
  <si>
    <t>SUBST. CABO BT 2B35 POR 3B35</t>
  </si>
  <si>
    <t>D285034</t>
  </si>
  <si>
    <t>-11.127288</t>
  </si>
  <si>
    <t xml:space="preserve"> -40.931057</t>
  </si>
  <si>
    <t>MCH-01C2</t>
  </si>
  <si>
    <t>W00239</t>
  </si>
  <si>
    <t>ADICIONAR +1 ESTRIBO E +1 CHAVE NO PG: D285032 E ENERGIZAR OBRA.</t>
  </si>
  <si>
    <t>B-1233068</t>
  </si>
  <si>
    <t>AC-CIND-POV-ABENGOADA 165-RURAL</t>
  </si>
  <si>
    <t>ADF DE 1,5KM E SUBST. TRAFO 2F-10KVA POR  3F-30KVA</t>
  </si>
  <si>
    <t>1050254</t>
  </si>
  <si>
    <t>E974759 AO E974764</t>
  </si>
  <si>
    <t>E517310</t>
  </si>
  <si>
    <t>-11.015346</t>
  </si>
  <si>
    <t>-41.122137</t>
  </si>
  <si>
    <t>G50187</t>
  </si>
  <si>
    <t>ADICIONAR FASE DO PG: E517310 AO E517311 E ENERGIZAR OBRA.</t>
  </si>
  <si>
    <t>B-1244062</t>
  </si>
  <si>
    <t>ER-CIND-FAZ-PORCOS 9965-RURAL</t>
  </si>
  <si>
    <t>G16670</t>
  </si>
  <si>
    <t>B405741</t>
  </si>
  <si>
    <t>INTERCALAR POSTE AT COM N1 E TRAFO ENTRE OS PG: B405741 - B405742, FECHAR CHAVE NOVA PRÓXIMO AO PG: B405741  E ENERGIZAR OBRA.</t>
  </si>
  <si>
    <t>B-1156468</t>
  </si>
  <si>
    <t>LD-CIND-FAZ BERNARDO-RURAL-VZN</t>
  </si>
  <si>
    <t>D536576</t>
  </si>
  <si>
    <t xml:space="preserve">-11.260149 </t>
  </si>
  <si>
    <t xml:space="preserve">  -40.965011</t>
  </si>
  <si>
    <t>NÃO ELIMINAR ESTA LINHA</t>
  </si>
  <si>
    <t>QUADRO DE ENERGIZAÇÃO</t>
  </si>
  <si>
    <t>Obra:</t>
  </si>
  <si>
    <t>&lt; automático</t>
  </si>
  <si>
    <t>Projeto OBRA:</t>
  </si>
  <si>
    <t>B-1215995</t>
  </si>
  <si>
    <t>&lt;&lt; inserir só PEP obra</t>
  </si>
  <si>
    <t>Projeto KIT:</t>
  </si>
  <si>
    <t>Projeto MEDIDOR:</t>
  </si>
  <si>
    <t>Município:</t>
  </si>
  <si>
    <t>UTD:</t>
  </si>
  <si>
    <t>JACOBINA</t>
  </si>
  <si>
    <t>Plano / ID:</t>
  </si>
  <si>
    <t>Critério:</t>
  </si>
  <si>
    <t>Fiscal / AR:</t>
  </si>
  <si>
    <t>Encarregado:</t>
  </si>
  <si>
    <t>Supervisor:</t>
  </si>
  <si>
    <t>PES:</t>
  </si>
  <si>
    <t>OC:</t>
  </si>
  <si>
    <t>Data da Conclusão:</t>
  </si>
  <si>
    <t>Qtd. Postes:</t>
  </si>
  <si>
    <t>Qtd. Clientes Ligados:</t>
  </si>
  <si>
    <t>&lt; Editar para cliente real atendido no e-mail.</t>
  </si>
  <si>
    <t>Perdas:</t>
  </si>
  <si>
    <t>&lt; Editar Qtd. Perdas, se houver.</t>
  </si>
  <si>
    <t>OBS:</t>
  </si>
  <si>
    <t>&lt; Inserir OBS, caso necessário.</t>
  </si>
  <si>
    <t xml:space="preserve"> </t>
  </si>
  <si>
    <t>Clientes validados</t>
  </si>
  <si>
    <t>CARTEIRA:</t>
  </si>
  <si>
    <t>C</t>
  </si>
  <si>
    <t>AR  COELBA</t>
  </si>
  <si>
    <r>
      <rPr>
        <rFont val="Arial"/>
        <b/>
        <color rgb="FF1155CC"/>
        <sz val="9.0"/>
        <u/>
      </rPr>
      <t>PES</t>
    </r>
    <r>
      <rPr>
        <rFont val="Calibri, sans-serif"/>
        <b/>
        <color rgb="FF000000"/>
        <sz val="9.0"/>
      </rPr>
      <t xml:space="preserve">
 P</t>
    </r>
    <r>
      <rPr>
        <rFont val="Calibri, sans-serif"/>
        <b/>
        <color rgb="FF000000"/>
        <sz val="9.0"/>
      </rPr>
      <t>D</t>
    </r>
  </si>
  <si>
    <t>CHAVE
PRINCIPAL</t>
  </si>
  <si>
    <t>B-0433453</t>
  </si>
  <si>
    <t>LD - FAZ. QUEIMADAS</t>
  </si>
  <si>
    <t>OBRA JÁ EXECUTADA ATRAVÉS DO PROJETO Y-0433446 - MP-CCOL-FAZ. QUEIMADAS-RURAL - BAIXA GRANDE</t>
  </si>
  <si>
    <t>EMERSON DE CARVALHO SILVA - MRA152590</t>
  </si>
  <si>
    <t>MANOEL GUSTAVO OLIVEIRA DOS S CONCEICAO - U464710</t>
  </si>
  <si>
    <t>B-1111424</t>
  </si>
  <si>
    <t>RR-SEIN-FAZ-BARRO VERMELHO-RURAL</t>
  </si>
  <si>
    <t>EM EXECUÇÃO</t>
  </si>
  <si>
    <t>DIOGO CRUZ DOS SANTOS - MRA177595</t>
  </si>
  <si>
    <t>VISITA REALIZADA 23/01/2026</t>
  </si>
  <si>
    <t>2026-12214</t>
  </si>
  <si>
    <t>2026-12399</t>
  </si>
  <si>
    <t>1048338</t>
  </si>
  <si>
    <t>E956402 AO E956411/ E956979</t>
  </si>
  <si>
    <t>B933897</t>
  </si>
  <si>
    <t>-11.991620,</t>
  </si>
  <si>
    <t xml:space="preserve"> -40.099284</t>
  </si>
  <si>
    <t>MUN-01N4 2#4</t>
  </si>
  <si>
    <t>W69126</t>
  </si>
  <si>
    <t>INTERCALAR POSTE AT COM N1-3 ENTRE OS PG: B933897 - B933898, FECHAR CHAVE NOVA PRÓBIMO AO PG: B933897  E ENERGIZAR OBRA.</t>
  </si>
  <si>
    <t>REVISADO APÓS ANÁLISE</t>
  </si>
  <si>
    <t>2026-12215</t>
  </si>
  <si>
    <t>2026-12400</t>
  </si>
  <si>
    <t>1048341</t>
  </si>
  <si>
    <t xml:space="preserve"> E956412 AO E956423</t>
  </si>
  <si>
    <t>B116590</t>
  </si>
  <si>
    <t>-12.021939</t>
  </si>
  <si>
    <t>-40.189794</t>
  </si>
  <si>
    <t xml:space="preserve">MUN-01N4 </t>
  </si>
  <si>
    <t>N79434</t>
  </si>
  <si>
    <t>ALTERAR ESTRUTURA DE N3 P/ N4 NO PG: B116590, FECHAR CHAVE NOVA PRÓBIMO AO PG: B116590 E ENERGIZAR OBRA.</t>
  </si>
  <si>
    <t>B-1234711</t>
  </si>
  <si>
    <t>B-1243717</t>
  </si>
  <si>
    <t>B-1243858</t>
  </si>
  <si>
    <t>ER-CIND-POV-CONCEICAO-RURAL</t>
  </si>
  <si>
    <t>PLANO 14.4.12.1-LPT - ALTERAR P/ 7</t>
  </si>
  <si>
    <t>2026-12218</t>
  </si>
  <si>
    <t>2026-12406</t>
  </si>
  <si>
    <t>2026-18084</t>
  </si>
  <si>
    <t>APROVADA</t>
  </si>
  <si>
    <t>1048342</t>
  </si>
  <si>
    <t>E956424 AO E956430</t>
  </si>
  <si>
    <t>D217520</t>
  </si>
  <si>
    <t>-12,024464</t>
  </si>
  <si>
    <t>-40.114233</t>
  </si>
  <si>
    <t>H80955</t>
  </si>
  <si>
    <t>ALTERAR ESTRUTURA DE N1 P/ N4 NO PG: D217520, FECHAR CHAVE NOVA PRÓXIMO AO PG: BBB E ENERGIZAR OBRA.</t>
  </si>
  <si>
    <t>B-1235031</t>
  </si>
  <si>
    <t>ER-SEIN-POV-LASCA GATO-RURAL</t>
  </si>
  <si>
    <t>PROGRAMADA</t>
  </si>
  <si>
    <t>FABIANO LOPES DE MORAES - MRA554506</t>
  </si>
  <si>
    <t>2026-12226</t>
  </si>
  <si>
    <t>2026-12302</t>
  </si>
  <si>
    <t>2026-12411</t>
  </si>
  <si>
    <t>1048343</t>
  </si>
  <si>
    <t>E956431 AO E956440</t>
  </si>
  <si>
    <t>E736173</t>
  </si>
  <si>
    <t>-11,851623</t>
  </si>
  <si>
    <t>-40.218145</t>
  </si>
  <si>
    <t>E21124</t>
  </si>
  <si>
    <t>ALTERAR ESTRUTURA DE N3 P/ N4 NO PG: E736173, SUBSTITUIR POSTE L430520, FECHAR CHAVE NOVA PRÓBIMO AO PG: E736173 E ENERGIZAR OBRA.</t>
  </si>
  <si>
    <t>B-1238776</t>
  </si>
  <si>
    <t>ER-CIND-POV-ITALEGRE 45-RURAL</t>
  </si>
  <si>
    <t>2026-12228</t>
  </si>
  <si>
    <t>2026-12416</t>
  </si>
  <si>
    <t>E894734</t>
  </si>
  <si>
    <t>B739962</t>
  </si>
  <si>
    <t>-11.865017</t>
  </si>
  <si>
    <t>-40.243591</t>
  </si>
  <si>
    <t>G42012</t>
  </si>
  <si>
    <t>INTERCALAR POSTE AT COM N1 ENTRE OS PG: B739962 - B739963, ENCABEÇAR RD BT NO PG: B739962  E ENERGIZAR OBRA.</t>
  </si>
  <si>
    <t>B-1240667</t>
  </si>
  <si>
    <t>ER-CIND-FAZ-SITIO LARANJEIRA-RURAL</t>
  </si>
  <si>
    <t>2026-12231</t>
  </si>
  <si>
    <t>2026-12419</t>
  </si>
  <si>
    <t>E903644</t>
  </si>
  <si>
    <t>E099562</t>
  </si>
  <si>
    <t>-11.971381</t>
  </si>
  <si>
    <t>-40.174250</t>
  </si>
  <si>
    <t>V01076</t>
  </si>
  <si>
    <t>INTERCALAR POSTE AT COM N1 E TRAFO ENTRE OS PG: E099562 - E099563, FECHAR CHAVE NOVA PRÓBIMO AO PG: E099562 E ENERGIZAR OBRA.</t>
  </si>
  <si>
    <t>B-1236128</t>
  </si>
  <si>
    <t>B-1243671</t>
  </si>
  <si>
    <t>B-1243676</t>
  </si>
  <si>
    <t>ER-CIND-FAZ-ALGODOES-RURAL-CAEM</t>
  </si>
  <si>
    <t>CAEM</t>
  </si>
  <si>
    <t>ENERGIZADA</t>
  </si>
  <si>
    <t>RODRIGO SANTOS SILVA - MRA096553</t>
  </si>
  <si>
    <t>NATALICIO MENDES DA SILVA - U107662</t>
  </si>
  <si>
    <t xml:space="preserve">VISITA REALIZADA 20/01/2026 - EXECUTAR CONFORME PROJETO 02 ADICIONAIS </t>
  </si>
  <si>
    <t>2026-21145</t>
  </si>
  <si>
    <t>2026-12433</t>
  </si>
  <si>
    <t>E930620 AOE930624/E930759AO E930765</t>
  </si>
  <si>
    <t>2026-2-48838</t>
  </si>
  <si>
    <t>D229058</t>
  </si>
  <si>
    <t>-11.120101</t>
  </si>
  <si>
    <t>-40.079290</t>
  </si>
  <si>
    <t>PON-01B4</t>
  </si>
  <si>
    <t>H84786</t>
  </si>
  <si>
    <t>D229059</t>
  </si>
  <si>
    <t>INTERCALAR POSTE AT COM B1-N3  ENTRE OS PG: D229059 - D229058, FECHAR CHAVE NOVA PRÓBIMO AO PG: D229058 E ENERGIZAR OBRA.</t>
  </si>
  <si>
    <t>B-1236503</t>
  </si>
  <si>
    <t>ER-CIND-FAZ-RECANTO-RURAL</t>
  </si>
  <si>
    <t>DOUGLAS DA SILVA MELO - MRA666519</t>
  </si>
  <si>
    <t xml:space="preserve">VISITA REALIZADA 20/01/2026 - EXECUTAR CONFORME PROJETO </t>
  </si>
  <si>
    <t>2026-12241</t>
  </si>
  <si>
    <t>2026-12436</t>
  </si>
  <si>
    <t>E930679</t>
  </si>
  <si>
    <t>2026-2-49411</t>
  </si>
  <si>
    <t>B667318</t>
  </si>
  <si>
    <t>-11.164172</t>
  </si>
  <si>
    <t>-40.004242</t>
  </si>
  <si>
    <t>G36611</t>
  </si>
  <si>
    <t>INTERCALAR POSTE AT COM N1 E TRAFO ENTRE OS PG: B667318 AO B667317, FECHAR CHAVE NOVA PRÓBIMO AO PG: B667317 E ENERGIZAR OBRA.</t>
  </si>
  <si>
    <t>B-1238298</t>
  </si>
  <si>
    <t>X-1243672</t>
  </si>
  <si>
    <t>X-1243677</t>
  </si>
  <si>
    <t>ER-CIND-FAZ-LARANJO-RURAL</t>
  </si>
  <si>
    <t xml:space="preserve">VISITA REALIZADA 20/01/2026 - EXECUATAR CONFORME PROJETO </t>
  </si>
  <si>
    <t>2026-12245</t>
  </si>
  <si>
    <t>E930678</t>
  </si>
  <si>
    <t>2026-2-9763</t>
  </si>
  <si>
    <t>B861643</t>
  </si>
  <si>
    <t>-11.076793</t>
  </si>
  <si>
    <t>-40.438206</t>
  </si>
  <si>
    <t>JCB-01M4</t>
  </si>
  <si>
    <t>H57804</t>
  </si>
  <si>
    <t>D150682</t>
  </si>
  <si>
    <t>INTERCALAR POSTE AT COM N1 ENTRE OS PG: D150682 - B747115, ENCABEÇAR RD BT NO PG: B861643  E ENERGIZAR OBRA.</t>
  </si>
  <si>
    <t>B-1027853</t>
  </si>
  <si>
    <t>AC-CIND-POV-PATOS-RURAL</t>
  </si>
  <si>
    <t>CALDEIRÃO GRANDE</t>
  </si>
  <si>
    <t>QLP
OBRAS SIMPLIFICADAS</t>
  </si>
  <si>
    <t>VISITADA PELO ENCARREGADO RODRIGO/ CONFORME PROJETO</t>
  </si>
  <si>
    <t>2026-13278</t>
  </si>
  <si>
    <t>2026-12446</t>
  </si>
  <si>
    <t>E903638 AO E903639</t>
  </si>
  <si>
    <t>2026-2-10979</t>
  </si>
  <si>
    <t>D021106</t>
  </si>
  <si>
    <t>-10.957561</t>
  </si>
  <si>
    <t>-40.301804</t>
  </si>
  <si>
    <t>SAU-01L3</t>
  </si>
  <si>
    <t>J51255</t>
  </si>
  <si>
    <t>D021105</t>
  </si>
  <si>
    <t>INTERCALAR POSTE AT COM N1 ENTRE OS PG: D021105 - D021106, ENCABEÇAR RD BT NO PG: D021106 E ENERGIZAR OBRA.</t>
  </si>
  <si>
    <t>x</t>
  </si>
  <si>
    <t>B-1171344</t>
  </si>
  <si>
    <t>X-1247853</t>
  </si>
  <si>
    <t>X-1248097</t>
  </si>
  <si>
    <t>ER-CIND-POV-PATOS-RURAL</t>
  </si>
  <si>
    <t>LPT
OBRAS SIMPLIFICADAS</t>
  </si>
  <si>
    <t>2026-12341</t>
  </si>
  <si>
    <t>E903640 E E903641</t>
  </si>
  <si>
    <t>2026-2-11124</t>
  </si>
  <si>
    <t>B418593</t>
  </si>
  <si>
    <t>-10.996459</t>
  </si>
  <si>
    <t>-40.325955</t>
  </si>
  <si>
    <t>SAU-01L4</t>
  </si>
  <si>
    <t>G12648</t>
  </si>
  <si>
    <t>ENCABEÇAR RD BT NO PG: B418593 E ENERGIZAR OBRA.</t>
  </si>
  <si>
    <t>B-1201353</t>
  </si>
  <si>
    <t>ER-COEL-AV-AG ALTO BONITO 99999-RURAL</t>
  </si>
  <si>
    <t>2026-10846</t>
  </si>
  <si>
    <t xml:space="preserve">CONCLUÍDA </t>
  </si>
  <si>
    <t>E903642</t>
  </si>
  <si>
    <t>2026-2-20648</t>
  </si>
  <si>
    <t>D090571</t>
  </si>
  <si>
    <t>-11.017373</t>
  </si>
  <si>
    <t>-40.311217</t>
  </si>
  <si>
    <t>J58072</t>
  </si>
  <si>
    <t>D089153</t>
  </si>
  <si>
    <t>ABRIR CHAVE DO TRAFO: BBB PARA SUBSTITUIR POSTE BT NO PG: D089153, DESATIVAR RD BT DO PG: D090571 AO D089153 E ENERGIZAR OBRA.</t>
  </si>
  <si>
    <t>B-1240780</t>
  </si>
  <si>
    <t>ER-CIND-FAZ-AGUA BOA-RURAL</t>
  </si>
  <si>
    <t>CAPIM GROSSO</t>
  </si>
  <si>
    <t>CAIQUE SILVA LIMA - MRA219559</t>
  </si>
  <si>
    <t>RAFAEL SANTOS DA CRUZ - U469504</t>
  </si>
  <si>
    <t>2026-12345</t>
  </si>
  <si>
    <t>E903645</t>
  </si>
  <si>
    <t>2026-2-17620</t>
  </si>
  <si>
    <t>E310221</t>
  </si>
  <si>
    <t>-11.360173</t>
  </si>
  <si>
    <t>-40.043791</t>
  </si>
  <si>
    <t>JCB-09N3</t>
  </si>
  <si>
    <t>V20645</t>
  </si>
  <si>
    <t>ENCABEÇAR RD BT NO PG: E310221 E ENERGIZAR OBRA.</t>
  </si>
  <si>
    <t>B-1240846</t>
  </si>
  <si>
    <t>ER-CIND-FAZ-VARZEA DA CABRA-RURAL</t>
  </si>
  <si>
    <t>2026-12348</t>
  </si>
  <si>
    <t>E903646 ao E903648</t>
  </si>
  <si>
    <t>2026-2-17169</t>
  </si>
  <si>
    <t>E337158</t>
  </si>
  <si>
    <t>-11.359693</t>
  </si>
  <si>
    <t>-40.028273</t>
  </si>
  <si>
    <t>CGI-01F2</t>
  </si>
  <si>
    <t>G07847</t>
  </si>
  <si>
    <t>ENCABEÇAR RD BT NO PG: E337158 E ENERGIZAR OBRA.</t>
  </si>
  <si>
    <t>B-1237699</t>
  </si>
  <si>
    <t>ER-CIND-RUA-DAS FLORES-VARZEA DA LAGE</t>
  </si>
  <si>
    <t>RICARDO SANTOS DE BRITO - U465100</t>
  </si>
  <si>
    <t>VISITA REALIZADA  - EXECUTAR CONFORME PROJETO</t>
  </si>
  <si>
    <t>2026-17542</t>
  </si>
  <si>
    <t>E956586 AO E956588
E956620 ao E956622</t>
  </si>
  <si>
    <t>2026-2-14656</t>
  </si>
  <si>
    <t>B916916</t>
  </si>
  <si>
    <t>-11.223105</t>
  </si>
  <si>
    <t>-40.412976</t>
  </si>
  <si>
    <t>JCB-01M5</t>
  </si>
  <si>
    <t>J04397</t>
  </si>
  <si>
    <t>R016254</t>
  </si>
  <si>
    <t>ENCABEÇAR RD BT NO PG: B916916 E ENERGIZAR OBRA.</t>
  </si>
  <si>
    <t>B-1240598</t>
  </si>
  <si>
    <t>ER-CIND-FAZ-FONTE DO BENEDITO 12-CACHOEI</t>
  </si>
  <si>
    <t>2026-12357</t>
  </si>
  <si>
    <t xml:space="preserve">E918328 e E918329
</t>
  </si>
  <si>
    <t>2026-2-11359</t>
  </si>
  <si>
    <t>R017277</t>
  </si>
  <si>
    <t>-11.343264</t>
  </si>
  <si>
    <t>-40.414341</t>
  </si>
  <si>
    <t>J04038</t>
  </si>
  <si>
    <t>B107042</t>
  </si>
  <si>
    <t>ENCABEÇAR RD BT NO PG: B107042 E ENERGIZAR OBRA.</t>
  </si>
  <si>
    <t>B-1240857</t>
  </si>
  <si>
    <t>ER-CIND-POV-ANGICO 888-RURAL</t>
  </si>
  <si>
    <t>MAIRI</t>
  </si>
  <si>
    <t>GILVANDO RIOS DA CRUZ - NTS025538</t>
  </si>
  <si>
    <t xml:space="preserve">C/ DP </t>
  </si>
  <si>
    <t>2026-10814</t>
  </si>
  <si>
    <t>1048348</t>
  </si>
  <si>
    <t>E956441 AO E956449</t>
  </si>
  <si>
    <t>2026-2-44296</t>
  </si>
  <si>
    <t>E585411</t>
  </si>
  <si>
    <t>-11.668491</t>
  </si>
  <si>
    <t>-40.292241</t>
  </si>
  <si>
    <t>D03773</t>
  </si>
  <si>
    <t>E585412</t>
  </si>
  <si>
    <t>ABRIR CHAVE: D03773 PARA, SUBSTITUIR POSTES BT POR AT DO PG: E585412 AO E664653, REALOCAR TRAFO: D03781 PARA  POSTE PG: E664653 E ENERGIZAR OBRA.</t>
  </si>
  <si>
    <t>B-1241023</t>
  </si>
  <si>
    <t>IP-PREF-RUA-ALTO DA BOA VISTA -RURAL</t>
  </si>
  <si>
    <t>2026-12006</t>
  </si>
  <si>
    <t>E930680 E E930681</t>
  </si>
  <si>
    <t>2026-2-40761</t>
  </si>
  <si>
    <t>D359201</t>
  </si>
  <si>
    <t>-11.668960</t>
  </si>
  <si>
    <t>-40.290484</t>
  </si>
  <si>
    <t>T21022</t>
  </si>
  <si>
    <t>L440460</t>
  </si>
  <si>
    <t>ABRIR CHAVE: T21022 P/ INTRECALAR POSTE BT ENTRE OS PG: L440460 - L440471, ENCABEÇAR RD BT NO PG: L440471 E ENERGIZAR OBRA.</t>
  </si>
  <si>
    <t>B-1239926</t>
  </si>
  <si>
    <t>ER-CIND-POV CURRAL VELHO-RURAL</t>
  </si>
  <si>
    <t>EXECUTAR CONFORME PROJETO / OBRA VISITADA</t>
  </si>
  <si>
    <t>2026-12250</t>
  </si>
  <si>
    <t>2026-12447</t>
  </si>
  <si>
    <t>E903649 E E903650</t>
  </si>
  <si>
    <t>2026-2-10388</t>
  </si>
  <si>
    <t>E673923</t>
  </si>
  <si>
    <t>-11.289350</t>
  </si>
  <si>
    <t>-40.627003</t>
  </si>
  <si>
    <t>D08573</t>
  </si>
  <si>
    <t>INTERCALAR POSTE AT COM N1 E TRAFO ENTRE OS PG: E673923 - E673924, FECHAR CHAVE NOVA PRÓBIMO AO PG: E673923  E ENERGIZAR OBRA.</t>
  </si>
  <si>
    <t>B-0823651</t>
  </si>
  <si>
    <t>LD CIND POV FORMOSA RURAL</t>
  </si>
  <si>
    <t>OBRA JÁ EXECUTADA ATRAVÉS DO PROJETO Y-0895944 - UB-CIND-RUA JOS  LUCIO-CENTRO-MGC - MIGUEL CALMON</t>
  </si>
  <si>
    <t>VISITADA PELO ENCARREGADO.</t>
  </si>
  <si>
    <t>FVP - 17/12/25</t>
  </si>
  <si>
    <t>D537100</t>
  </si>
  <si>
    <t>-11,427731</t>
  </si>
  <si>
    <t>-40,607950</t>
  </si>
  <si>
    <t>MCM-01J1 3#4</t>
  </si>
  <si>
    <t>J03454</t>
  </si>
  <si>
    <t>MONTAR BANCADA COM N3 NO PG: D537100, FECHAR CHAVE NOVA PRÓBIMO AO PG: D537100 E ENERGIZAR OBRA.</t>
  </si>
  <si>
    <t>B-1236062</t>
  </si>
  <si>
    <t>ER-CIND-FAZ-IPUEIRA DO SABIA-III 112</t>
  </si>
  <si>
    <t>CARLOS DA CRUZ SANTANA - MRA258541</t>
  </si>
  <si>
    <t>2026-21170</t>
  </si>
  <si>
    <t>2026-12461</t>
  </si>
  <si>
    <t>1048350</t>
  </si>
  <si>
    <t>E956450 AO E956459</t>
  </si>
  <si>
    <t>L398204</t>
  </si>
  <si>
    <t>-11.763451</t>
  </si>
  <si>
    <t>-40.425355</t>
  </si>
  <si>
    <t>MUN-01N5</t>
  </si>
  <si>
    <t>DJ:J03289</t>
  </si>
  <si>
    <t>L398206</t>
  </si>
  <si>
    <t>INTERCALAR POSTE AT COM N1-3 ENTRE OS PG: L398206 - L398204, FECHAR CHAVE NOVA PRÓBIMO AO PG: L398206  E ENERGIZAR OBRA.</t>
  </si>
  <si>
    <t>B-1137720</t>
  </si>
  <si>
    <t>ER-CIND-POV-LAGEDO-RURAL</t>
  </si>
  <si>
    <t>DIRECIONADA PARA EPS DÍNAMO</t>
  </si>
  <si>
    <t>2026-14484</t>
  </si>
  <si>
    <t>E956629 AO E956632</t>
  </si>
  <si>
    <t>E474676</t>
  </si>
  <si>
    <t>-11,313755</t>
  </si>
  <si>
    <t xml:space="preserve">	-40,038778</t>
  </si>
  <si>
    <t>CGI-01F1</t>
  </si>
  <si>
    <t>V45697</t>
  </si>
  <si>
    <t>ENCABEÇAR RD BT NO PG: E474676 E ENERGIZAR OBRA.</t>
  </si>
  <si>
    <t>B-1226969</t>
  </si>
  <si>
    <t>ER-CIND-SI-VOVO ZEZE-MUNDO NOVO</t>
  </si>
  <si>
    <t>19/12/25 - RE 07/01/26</t>
  </si>
  <si>
    <t>2026-12261</t>
  </si>
  <si>
    <t>2026-12467</t>
  </si>
  <si>
    <t>E852101 AO E852103</t>
  </si>
  <si>
    <t>2026-2-42464</t>
  </si>
  <si>
    <t>L432383</t>
  </si>
  <si>
    <t xml:space="preserve">-11,867991 </t>
  </si>
  <si>
    <t>-40,439564</t>
  </si>
  <si>
    <t>MUN-01N4 3#4</t>
  </si>
  <si>
    <t>T16242</t>
  </si>
  <si>
    <t>MONTAR BANCADA COM N3 NO PG: L432383, FECHAR CHAVE NOVA PRÓBIMO AO PG: L432383 E ENERGIZAR OBRA.</t>
  </si>
  <si>
    <t>B-1235320</t>
  </si>
  <si>
    <t>ER-CIND-POV-TAPIRANGA 500-RR-TAPIRANGA</t>
  </si>
  <si>
    <t>ETEMILSON OLIVEIRA SANTOS - NTS149530</t>
  </si>
  <si>
    <t>2026-12262</t>
  </si>
  <si>
    <t>2026-12479</t>
  </si>
  <si>
    <t>E920022 AO E920033</t>
  </si>
  <si>
    <t>2026-2-11427</t>
  </si>
  <si>
    <t>R040683</t>
  </si>
  <si>
    <t xml:space="preserve">-11,451460   </t>
  </si>
  <si>
    <t>-40,411330</t>
  </si>
  <si>
    <t>W70427</t>
  </si>
  <si>
    <t>INTERCALAR POSTE AT COM N1-3 ENTRE OS PG: R040683 - R040682, FECHAR CHAVE NOVA PRÓBIMO AO PG: R040683  E ENERGIZAR OBRA.</t>
  </si>
  <si>
    <t>Aguardando revisão de orcamento</t>
  </si>
  <si>
    <t>B-1238642</t>
  </si>
  <si>
    <t>ER-CIND-POV VARZEA DE FORA-RURAL</t>
  </si>
  <si>
    <t>CLEBSON REIS NETO - MRA148601</t>
  </si>
  <si>
    <t>ERIC TEIXEIRA OLIVEIRA BARBOSA - U361045</t>
  </si>
  <si>
    <t>2026-12365</t>
  </si>
  <si>
    <t>E877204 AO E877207</t>
  </si>
  <si>
    <t>2026-2-6893</t>
  </si>
  <si>
    <t>R028897</t>
  </si>
  <si>
    <t>-11.018339</t>
  </si>
  <si>
    <t>-41.109615</t>
  </si>
  <si>
    <t>J04007</t>
  </si>
  <si>
    <t>ENCABEÇAR RD BT NO PG: R028897 E ENERGIZAR OBRA.</t>
  </si>
  <si>
    <t>B-1234938</t>
  </si>
  <si>
    <t>ER-CIND-FAZ-VARZEA DO PEDRO-RURAL</t>
  </si>
  <si>
    <t>SAÚDE</t>
  </si>
  <si>
    <t>ABRIR OC DE ENERGIZAÇÃO DIA 16/02</t>
  </si>
  <si>
    <t xml:space="preserve">EXECUTAR CONFOR PROJETO </t>
  </si>
  <si>
    <t>2026-12266</t>
  </si>
  <si>
    <t>2026-12480</t>
  </si>
  <si>
    <t>1048351</t>
  </si>
  <si>
    <t>E956460 AO E956481</t>
  </si>
  <si>
    <t>D778089</t>
  </si>
  <si>
    <t>-11.016102</t>
  </si>
  <si>
    <t>-40.399589</t>
  </si>
  <si>
    <t>SAU-01L2</t>
  </si>
  <si>
    <t>N81161</t>
  </si>
  <si>
    <t>ALTERAR ESTRUTURA DE N3 P/ N4 NO PG: D778089, FECHAR CHAVE NOVA PRÓBIMO AO PG: D778089 E ENERGIZAR OBRA.</t>
  </si>
  <si>
    <t>B-1240504</t>
  </si>
  <si>
    <t>AC-CIND-RUA-LAURO TEIXEIRA-PECUARIA</t>
  </si>
  <si>
    <t>2026-12381</t>
  </si>
  <si>
    <t>E930601</t>
  </si>
  <si>
    <t xml:space="preserve">2026-2-11435 </t>
  </si>
  <si>
    <t>B763290</t>
  </si>
  <si>
    <t>-10.949047</t>
  </si>
  <si>
    <t>-40.421957</t>
  </si>
  <si>
    <t>N43355</t>
  </si>
  <si>
    <t>ENCABEÇAR RD BT NO PG: B763290 E ENERGIZAR OBRA.</t>
  </si>
  <si>
    <t>B-1234334</t>
  </si>
  <si>
    <t>B-1242660</t>
  </si>
  <si>
    <t>B-1242662</t>
  </si>
  <si>
    <t>ER-CIND-TRV-MANOEL MACIEL-ROCADINHO</t>
  </si>
  <si>
    <t>SERROLÂNDIA</t>
  </si>
  <si>
    <t>LUCIANO NUNES DA SILVA - MRA252517</t>
  </si>
  <si>
    <t>VISITA REALIZADA 22/01/2026</t>
  </si>
  <si>
    <t>2026-12274</t>
  </si>
  <si>
    <t>2026-12485</t>
  </si>
  <si>
    <t>1048354</t>
  </si>
  <si>
    <t>E956482 AO E956491</t>
  </si>
  <si>
    <t>2026-2-47953</t>
  </si>
  <si>
    <t>B645742</t>
  </si>
  <si>
    <t>-11.374587</t>
  </si>
  <si>
    <t>-40.330970</t>
  </si>
  <si>
    <t>SRL-01P1</t>
  </si>
  <si>
    <t>G44373</t>
  </si>
  <si>
    <t>B645743</t>
  </si>
  <si>
    <t>INTERCALAR POSTE AT COM N1 E TRAFO, ENTRE OS PG: B645743 - B645742, FECHAR CHAVE NOVA PRÓBIMO AO PG: B645742 E ENERGIZAR OBRA.</t>
  </si>
  <si>
    <t>B-1236459</t>
  </si>
  <si>
    <t>ER-CIND-RUA-DEOCLECIANO MELLO -SALAMIM</t>
  </si>
  <si>
    <t>MELHORAMENTO</t>
  </si>
  <si>
    <t>C/ DP</t>
  </si>
  <si>
    <t>2026-12306</t>
  </si>
  <si>
    <t>2026-20365</t>
  </si>
  <si>
    <t>1048356</t>
  </si>
  <si>
    <t>E956492 AO E956501</t>
  </si>
  <si>
    <t>R000942</t>
  </si>
  <si>
    <t>-11.351447</t>
  </si>
  <si>
    <t>-40.275503</t>
  </si>
  <si>
    <t>J02166</t>
  </si>
  <si>
    <t>R000939</t>
  </si>
  <si>
    <t>ABRIR CHAVE: J02166 PARA SUBST. PT AT NO PG: R000939, SUBST. PTS. BT POR AT DO PG: R000940 AO R000941, SUBST. RD BT DO PG: R000941 AO R000938 AO R000942 E ENERGIZAR OBRA.</t>
  </si>
  <si>
    <t>B-1115455</t>
  </si>
  <si>
    <t>Y-1247703</t>
  </si>
  <si>
    <t>Y-1248010</t>
  </si>
  <si>
    <t>ER-CIND-FAZ-GRUNA-RURAL</t>
  </si>
  <si>
    <t>GERALDO DA COSTA GOMES - MRA571535</t>
  </si>
  <si>
    <t xml:space="preserve">EXECUTAR CONFORME PROJETO </t>
  </si>
  <si>
    <t>2026-12276</t>
  </si>
  <si>
    <t>2026-12317</t>
  </si>
  <si>
    <t>2026-12488</t>
  </si>
  <si>
    <t>E930612 AO E930617</t>
  </si>
  <si>
    <t>B738842</t>
  </si>
  <si>
    <t>-10.664751</t>
  </si>
  <si>
    <t>-41.424293</t>
  </si>
  <si>
    <t>G64665</t>
  </si>
  <si>
    <t>ALTERAR ESTRUTURA DE N3 P/ N4 NO PG: B738842, FECHAR CHAVE NOVA PRÓBIMO AO PG: BBB E ENERGIZAR OBRA.</t>
  </si>
  <si>
    <t>B-1237883</t>
  </si>
  <si>
    <t>ER-CIND-RUA-CAMPO FORMOSO 1010-RURAL</t>
  </si>
  <si>
    <t>2026-12281</t>
  </si>
  <si>
    <t>2026-12318</t>
  </si>
  <si>
    <t>2026-12491</t>
  </si>
  <si>
    <t>1048359</t>
  </si>
  <si>
    <t>E956502 AO E956517</t>
  </si>
  <si>
    <t>E161193</t>
  </si>
  <si>
    <t>-10.447725</t>
  </si>
  <si>
    <t>-41.191783</t>
  </si>
  <si>
    <t>V10859</t>
  </si>
  <si>
    <t>ALTERAR ESTRUTURA DE N3 P/ N4 NO PG: E161193, FECHAR CHAVE NOVA PRÓBIMO AO PG: E161193 E ENERGIZAR OBRA.</t>
  </si>
  <si>
    <t>B-1238383</t>
  </si>
  <si>
    <t>UB-CIND-RUA-BARRIGUDA DELFINO-RURAL</t>
  </si>
  <si>
    <t>2026-12283</t>
  </si>
  <si>
    <t>2026-12495</t>
  </si>
  <si>
    <t>1048362</t>
  </si>
  <si>
    <t>E956518 AO E956529 / E956638 AOE956654</t>
  </si>
  <si>
    <t>R038942</t>
  </si>
  <si>
    <t>-10.46224984</t>
  </si>
  <si>
    <t>-41.2123987</t>
  </si>
  <si>
    <t>J08457</t>
  </si>
  <si>
    <t>INTERCALAR POSTE AT COM N1 E TRAFO ENTRE OS PG: R038942 - R038943, FECHAR CHAVE NOVA PRÓBIMO AO PG: R038942  E ENERGIZAR OBRA.</t>
  </si>
  <si>
    <t>B-1238773</t>
  </si>
  <si>
    <t>ER-CIND-RUA-BARRIGA DELFINO-RURAL</t>
  </si>
  <si>
    <t>2026-12285</t>
  </si>
  <si>
    <t>2026-12499</t>
  </si>
  <si>
    <t>E930599 AO E930600</t>
  </si>
  <si>
    <t>R071694</t>
  </si>
  <si>
    <t>-10.456223</t>
  </si>
  <si>
    <t>-41.206317</t>
  </si>
  <si>
    <t>INTERCALAR POSTE AT COM N1 E TRAFO ENTRE OS PG: R071694 - R071695, FECHAR CHAVE NOVA PRÓBIMO AO PG: R071694 E ENERGIZAR OBRA.</t>
  </si>
  <si>
    <t>B-1239016</t>
  </si>
  <si>
    <t>ER-CIND-POV-NOVO DELFINO 26-UMBURANAS</t>
  </si>
  <si>
    <t>2026-12286</t>
  </si>
  <si>
    <t>2026-12502</t>
  </si>
  <si>
    <t>1048364</t>
  </si>
  <si>
    <t>E956530 AO E956554</t>
  </si>
  <si>
    <t>B343837</t>
  </si>
  <si>
    <t>-10.46217077</t>
  </si>
  <si>
    <t>-41.18516225</t>
  </si>
  <si>
    <t>G06593</t>
  </si>
  <si>
    <t>INTERCALAR POSTE AT COM N1-3 ENTRE OS PG: B343837 - B343838, FECHAR CHAVE NOVA PRÓBIMO AO PG: B343837  E ENERGIZAR OBRA.</t>
  </si>
  <si>
    <t>B-1233878</t>
  </si>
  <si>
    <t>ER-CIND-FAZ-VARZEA DA ROCA-BARRACAS</t>
  </si>
  <si>
    <t>VÁRZEA DA ROÇA</t>
  </si>
  <si>
    <t>2026-12385</t>
  </si>
  <si>
    <t>E920034 AO E920036</t>
  </si>
  <si>
    <t>2026-2-21085</t>
  </si>
  <si>
    <t>B522436</t>
  </si>
  <si>
    <t>-11.620560</t>
  </si>
  <si>
    <t>-40.157010</t>
  </si>
  <si>
    <t>VDR-01V2</t>
  </si>
  <si>
    <t>G28710</t>
  </si>
  <si>
    <t>ENCABEÇAR RD BT NO PG: B522436 E ENERGIZAR OBRA.</t>
  </si>
  <si>
    <t>B-1238037</t>
  </si>
  <si>
    <t>B-1242374</t>
  </si>
  <si>
    <t>B-1242378</t>
  </si>
  <si>
    <t>ER-CIND-FAZ-VARZEA COMPRIDA-RURAL</t>
  </si>
  <si>
    <t>DERIVAÇÃO OK CONFORME PROJETO</t>
  </si>
  <si>
    <t>2026-12287</t>
  </si>
  <si>
    <t>2026-12321</t>
  </si>
  <si>
    <t>2026-10819</t>
  </si>
  <si>
    <t>1048367</t>
  </si>
  <si>
    <t>E956555 AO E956570</t>
  </si>
  <si>
    <t>2026-2-48005</t>
  </si>
  <si>
    <t>E252655</t>
  </si>
  <si>
    <t>-11.628975</t>
  </si>
  <si>
    <t>-40.141494</t>
  </si>
  <si>
    <t>VDR-01V1</t>
  </si>
  <si>
    <t>T20447</t>
  </si>
  <si>
    <t>MONTAR BANCADA COM N3 NO PG: E252655, FECHAR CHAVE NOVA PRÓBIMO AO PG: E252655 E ENERGIZAR OBRA.</t>
  </si>
  <si>
    <t>B-0998620</t>
  </si>
  <si>
    <t>ER-CIND-POV-VARZEA GRANDE-RURAL</t>
  </si>
  <si>
    <t>OBRA INICIADA PELA EPS DÍNAMO
14 POSTES JÁ IMPLANTADOS, C/ ESTR. PARCIAIS.
DIRECIONADA PARA EPS DÍNAMO</t>
  </si>
  <si>
    <t>1048369</t>
  </si>
  <si>
    <t>E956571 AO E956585</t>
  </si>
  <si>
    <t>L439989</t>
  </si>
  <si>
    <t>-11.580191</t>
  </si>
  <si>
    <t>-40.021516</t>
  </si>
  <si>
    <t>T20569</t>
  </si>
  <si>
    <t>ALTERAR ESTRUTURA DE N3 P/ N4  NO PG: L439989, FECHAR CHAVE NOVA PRÓBIMO AO PG: L439989 E ENERGIZAR OBRA.</t>
  </si>
  <si>
    <t>B-1176075</t>
  </si>
  <si>
    <t>X-1247692</t>
  </si>
  <si>
    <t>X-1248000</t>
  </si>
  <si>
    <t>ER-CIND-FAZ-BAIXA DO MEREIRA-RURAL</t>
  </si>
  <si>
    <t>VÁRZEA DO POÇO</t>
  </si>
  <si>
    <t>2026-12289</t>
  </si>
  <si>
    <t>E930677</t>
  </si>
  <si>
    <t>2026-2-10664</t>
  </si>
  <si>
    <t>B181508</t>
  </si>
  <si>
    <t>-11.549537</t>
  </si>
  <si>
    <t>-40.286031</t>
  </si>
  <si>
    <t>N76559</t>
  </si>
  <si>
    <t>INTERCALAR POSTE AT COM N1 ENTRE OS PG: B181508 - B181507, ENCABEÇAR RD BT NO PG: B181508  E ENERGIZAR OBRA.</t>
  </si>
  <si>
    <t>B-1238716</t>
  </si>
  <si>
    <t>ER-CIND-FAZ-TAPIOCA 655-VARZEA DO POCO</t>
  </si>
  <si>
    <t>2026-12291</t>
  </si>
  <si>
    <t>2026-17404</t>
  </si>
  <si>
    <t>E920038</t>
  </si>
  <si>
    <t>2026-2-13582</t>
  </si>
  <si>
    <t>B398919</t>
  </si>
  <si>
    <t>-11.521432</t>
  </si>
  <si>
    <t>-40.322223</t>
  </si>
  <si>
    <t>G12658</t>
  </si>
  <si>
    <t>B398920</t>
  </si>
  <si>
    <t>INTERCALAR POSTE AT COM N1 E TRAFO ENTRE OS PG: B398920 - B398919, FECHAR CHAVE NOVA PRÓBIMO AO PG: B398919 E ENERGIZAR OBRA.</t>
  </si>
  <si>
    <t>B-1238968</t>
  </si>
  <si>
    <t>ER-CIND-POV-MULUNGU-RURAL-MULUNGU</t>
  </si>
  <si>
    <t>DEPENDE DO TRAFO</t>
  </si>
  <si>
    <t>2026-12294</t>
  </si>
  <si>
    <t>2026-12526</t>
  </si>
  <si>
    <t>E852209 E E852210</t>
  </si>
  <si>
    <t>Q149488</t>
  </si>
  <si>
    <t>-11.207665</t>
  </si>
  <si>
    <t>-41.032771</t>
  </si>
  <si>
    <t>J17565</t>
  </si>
  <si>
    <t>INTERCALAR POSTE AT COM N1 E TRAFO ENTRE OS PG: Q149488 - Q149487, FECHAR CHAVE NOVA PRÓBIMO AO PG: Q149488  E ENERGIZAR OBRA.</t>
  </si>
  <si>
    <t>B-1240875</t>
  </si>
  <si>
    <t>ER-CIND-POV-GASPAR-GASPAR</t>
  </si>
  <si>
    <t>2026-12391</t>
  </si>
  <si>
    <t>E852207 E E852208</t>
  </si>
  <si>
    <t>2026-2-5486</t>
  </si>
  <si>
    <t>D036111</t>
  </si>
  <si>
    <t>-11.151402</t>
  </si>
  <si>
    <t>-41.128374</t>
  </si>
  <si>
    <t>J52666</t>
  </si>
  <si>
    <t>ENCABEÇAR RD BT NO PG: D036111 E ENERGIZAR OBRA.</t>
  </si>
  <si>
    <t>B-1243784</t>
  </si>
  <si>
    <t>ER-CIND-FAZ-SANTO ANTONIO-ALCAPAO</t>
  </si>
  <si>
    <t>OBRA CANCELADA PELO AR - CLIENTE IRREGULAR
3,5KM DE ADF E SUBST. TRAFO 2F-10KVA POR 3F-30KVA</t>
  </si>
  <si>
    <r>
      <rPr>
        <rFont val="Calibri"/>
        <color rgb="FFFF0000"/>
        <sz val="9.0"/>
        <u/>
      </rPr>
      <t>2026-14374</t>
    </r>
    <r>
      <rPr>
        <rFont val="Calibri"/>
        <color rgb="FFFF0000"/>
        <sz val="9.0"/>
      </rPr>
      <t xml:space="preserve">
</t>
    </r>
    <r>
      <rPr>
        <rFont val="Calibri"/>
        <color rgb="FFFF0000"/>
        <sz val="9.0"/>
        <u/>
      </rPr>
      <t>2026-14376</t>
    </r>
  </si>
  <si>
    <t>B184157</t>
  </si>
  <si>
    <t>-10,75307616</t>
  </si>
  <si>
    <t>-41,31393759</t>
  </si>
  <si>
    <t>N45917</t>
  </si>
  <si>
    <t xml:space="preserve">ABRIR CHAVE: N45917 PARA ADICIONAR FASE DO PG: B184157 AO B914882, SUBSTITUIR TF: G58589 POR TF 3F-30 E ENERGIZAR OBRA. </t>
  </si>
  <si>
    <t>B-1244389</t>
  </si>
  <si>
    <t>ER-CCOL-FAZ-RECANTO-RURAL</t>
  </si>
  <si>
    <t xml:space="preserve">EXECUTAR CONFORME  PROJETO </t>
  </si>
  <si>
    <t>2026-14396</t>
  </si>
  <si>
    <t>2026-14447</t>
  </si>
  <si>
    <t>1049053</t>
  </si>
  <si>
    <t>E963279 AO E963293</t>
  </si>
  <si>
    <t>D369575</t>
  </si>
  <si>
    <t>-11,168560</t>
  </si>
  <si>
    <t>-40,008125</t>
  </si>
  <si>
    <t>J04766</t>
  </si>
  <si>
    <t>MONTAR BANCADA COM N3 NO PG: D369575, FECHAR CHAVE NOVA PRÓBIMO AO PG: D369575 E ENERGIZAR OBRA.</t>
  </si>
  <si>
    <t>JAILTON DA SILVA - MRA811574</t>
  </si>
  <si>
    <t>2026-21162</t>
  </si>
  <si>
    <t>2026-14449</t>
  </si>
  <si>
    <t>1049056</t>
  </si>
  <si>
    <t>E963294 AO E963393</t>
  </si>
  <si>
    <t>D283206</t>
  </si>
  <si>
    <t>-11,332259</t>
  </si>
  <si>
    <t>-40,676349</t>
  </si>
  <si>
    <t>W01457</t>
  </si>
  <si>
    <t>ALTERAR ESTRUTURA DE N3 P/ N4 NO PG: D283206 ENERGIZAR OBRA.</t>
  </si>
  <si>
    <t>B-1244326</t>
  </si>
  <si>
    <t>ER-CIND-SI-CAJUEIRO-RURAL</t>
  </si>
  <si>
    <t>PIRITIBA</t>
  </si>
  <si>
    <t>2026-14402</t>
  </si>
  <si>
    <t>2026-14453</t>
  </si>
  <si>
    <t>1049057</t>
  </si>
  <si>
    <t>E963394 AO E963408
E956883</t>
  </si>
  <si>
    <t>E776589</t>
  </si>
  <si>
    <t>-11,692967</t>
  </si>
  <si>
    <t>-40,574568</t>
  </si>
  <si>
    <t>MUN-01N1</t>
  </si>
  <si>
    <t>E23345</t>
  </si>
  <si>
    <t>INTERCALAR POSTE AT COM N1-3 ENTRE OS PG: E776590 - E776589, FECHAR CHAVE NOVA PRÓBIMO AO PG: E776590  E ENERGIZAR OBRA.</t>
  </si>
  <si>
    <t>B-1080958</t>
  </si>
  <si>
    <t>RR-CCOL-POV-PAU BRANCO 57-RURAL</t>
  </si>
  <si>
    <t>2026-14423</t>
  </si>
  <si>
    <t>2026-14458</t>
  </si>
  <si>
    <t>1049058</t>
  </si>
  <si>
    <t>E963409 AO E963416</t>
  </si>
  <si>
    <t>B041333</t>
  </si>
  <si>
    <t xml:space="preserve">-11,24882828 </t>
  </si>
  <si>
    <t xml:space="preserve">-40,89285216 </t>
  </si>
  <si>
    <t>N87429</t>
  </si>
  <si>
    <t>INTERCALAR POSTE AT COM N1-3 ENTRE OS PG: B041333 - B041334, FECHAR CHAVE NOVA PRÓBIMO AO PG: B041333  E ENERGIZAR OBRA.</t>
  </si>
  <si>
    <t>B-1126423</t>
  </si>
  <si>
    <t>LD CIND POV BOM GOSTO RURAL</t>
  </si>
  <si>
    <t>DEPENDE DA EXECUÇÃO DA OBRA B-1085453 - LD-CCOL-POV. BARRIGUDA FEDERAL-RURAL, EPS DÍNAMO (24 POSTES E 02 UC'S), CANCELADA.</t>
  </si>
  <si>
    <t>2026-14408</t>
  </si>
  <si>
    <t>2026-14463</t>
  </si>
  <si>
    <t>1049059</t>
  </si>
  <si>
    <t>E963417 AO E963422</t>
  </si>
  <si>
    <t>-10,712172</t>
  </si>
  <si>
    <t>-41,362323</t>
  </si>
  <si>
    <t>D00529</t>
  </si>
  <si>
    <t>E521377</t>
  </si>
  <si>
    <t>INTERCALAR POSTE AT COM N4-3 NO POSTE NOVO PRÓBIMO AO  PG: E521377, FECHAR CHAVE NOVA PRÓBIMO AO PG: E521377 E ENERGIZAR OBRA.</t>
  </si>
  <si>
    <t>B-1164308</t>
  </si>
  <si>
    <t>ER-CIND POV  RIACHO DO MUCAMBO-RURAL</t>
  </si>
  <si>
    <t>AIC AUDITORIA
OBRAS SIMPLIFICADAS</t>
  </si>
  <si>
    <t>2026-14410</t>
  </si>
  <si>
    <t>2026-14470</t>
  </si>
  <si>
    <t>E956633</t>
  </si>
  <si>
    <t>D160103</t>
  </si>
  <si>
    <t>-11,218339</t>
  </si>
  <si>
    <t>-40,895760</t>
  </si>
  <si>
    <t>H66941</t>
  </si>
  <si>
    <t>D160101</t>
  </si>
  <si>
    <t>INTERCALAR POSTE AT COM N1 ENTRE OS PG: D160101 - D160102, ENCABEÇAR RD BT NO PG: D160103 E ENERGIZAR OBRA.</t>
  </si>
  <si>
    <t>B-1101061</t>
  </si>
  <si>
    <t>B-1249664</t>
  </si>
  <si>
    <t>B-1249743</t>
  </si>
  <si>
    <t>ER-CIND-POV-VARZEA DE DENTRO-DELFINO</t>
  </si>
  <si>
    <t>AIC AUDITORIA
BRAS SIMPLIFICADAS</t>
  </si>
  <si>
    <t>2026-21228</t>
  </si>
  <si>
    <t>E956623</t>
  </si>
  <si>
    <t>R071829</t>
  </si>
  <si>
    <t>-10,46330301</t>
  </si>
  <si>
    <t>-41,07332522</t>
  </si>
  <si>
    <t xml:space="preserve">INTERCALAR POSTE AT COM N1 ENTRE OS PG: R071830 - R071831, ENCABEÇAR RD BT NO PG: R071831 E ENERGIZAR OBRA.
</t>
  </si>
  <si>
    <t>B-1137304</t>
  </si>
  <si>
    <t>ER-CIND-POV-IVO LUCIANO-RURAL</t>
  </si>
  <si>
    <t>2026-14419</t>
  </si>
  <si>
    <t>2026-14507</t>
  </si>
  <si>
    <t>1049060</t>
  </si>
  <si>
    <t>E963423 AO E963428</t>
  </si>
  <si>
    <t>D319735</t>
  </si>
  <si>
    <t>-11,2760241</t>
  </si>
  <si>
    <t>-40,0347577</t>
  </si>
  <si>
    <t>W11515</t>
  </si>
  <si>
    <t>ALTERAR ESTRUTURA DE N3P/ N4 NO PG: D319735, FECHAR CHAVE NOVA PRÓBIMO AO PG: D319735 E ENERGIZAR OBRA.</t>
  </si>
  <si>
    <t>B-1238263</t>
  </si>
  <si>
    <t>B-1242433</t>
  </si>
  <si>
    <t>B-1242437</t>
  </si>
  <si>
    <t>ER-CIND-RUA-CAMPO FORMOSO 1011-DELFINO</t>
  </si>
  <si>
    <t>2026-14568</t>
  </si>
  <si>
    <t>2026-14614</t>
  </si>
  <si>
    <t>E956634 AO E956637</t>
  </si>
  <si>
    <t>R071669</t>
  </si>
  <si>
    <t>-10,441332</t>
  </si>
  <si>
    <t>-41,179216</t>
  </si>
  <si>
    <t>ALTERAR ESTRUTURA DE N3 P/ N4 NO PG: R071669, FECHAR CHAVE NOVA PRÓBIMO AO PG: R071669 E ENERGIZAR OBRA.</t>
  </si>
  <si>
    <t>B-1238473</t>
  </si>
  <si>
    <t>ER-CIND-RUA-CAMPO FORMOSO-RURAL-DELFINO</t>
  </si>
  <si>
    <t>DUPLICIDADE COM A OBRAS B-1237883 - ER-CIND-RUA-CAMPO FORMOSO 1010-RURAL - UMBURANAS</t>
  </si>
  <si>
    <t>FVP - 30/01/26</t>
  </si>
  <si>
    <t>2026-14573</t>
  </si>
  <si>
    <t>2026-14628</t>
  </si>
  <si>
    <t>2026-14618</t>
  </si>
  <si>
    <t>E963511 AO E963528</t>
  </si>
  <si>
    <t xml:space="preserve">E161193 </t>
  </si>
  <si>
    <t>B-1238719</t>
  </si>
  <si>
    <t>ER-CIND-POV-NOVO DELFINO-RURAL</t>
  </si>
  <si>
    <t>2026-14576</t>
  </si>
  <si>
    <t>2026-14631</t>
  </si>
  <si>
    <t>2026-14622</t>
  </si>
  <si>
    <t>E963529 AO E963546</t>
  </si>
  <si>
    <t>D319580</t>
  </si>
  <si>
    <t>-10,454735</t>
  </si>
  <si>
    <t>-41,201857</t>
  </si>
  <si>
    <t>W53442</t>
  </si>
  <si>
    <t>ALTERAR ESTRUTURA DE N3 P/ N4 NO PG: D319580, FECHAR CHAVE NOVA PRÓBIMO AO PG: D319580 E ENERGIZAR OBRA.</t>
  </si>
  <si>
    <t>B-0824309</t>
  </si>
  <si>
    <t>B-0825328</t>
  </si>
  <si>
    <t>B-0824356</t>
  </si>
  <si>
    <t>LD CCOL-FAZ RECANTO DOS ANIMAIS RURAL</t>
  </si>
  <si>
    <t>E-MAIL 06/05/25
DEPENDA DA EXECUÇÃO DA OBRA B-0824312 (ADF MONO PRA BIF) - EPS DÍNAMO</t>
  </si>
  <si>
    <t>B-1018593</t>
  </si>
  <si>
    <t>ER-CIND-POV-SOINHO 32-RURAL</t>
  </si>
  <si>
    <t>2026-16777</t>
  </si>
  <si>
    <t>E956667</t>
  </si>
  <si>
    <t>B160957</t>
  </si>
  <si>
    <t>-11,582411</t>
  </si>
  <si>
    <t>-40,175634</t>
  </si>
  <si>
    <t>N75529</t>
  </si>
  <si>
    <t>INTERCALAR POSTE AT COM N1 E TRAFO ENTRE OS PG: B160957 - B160956 E ENERGIZAR OBRA.</t>
  </si>
  <si>
    <t>B-1077195</t>
  </si>
  <si>
    <t>B-1116898</t>
  </si>
  <si>
    <t>B-1116899</t>
  </si>
  <si>
    <t>LD CIND FAZ CEU AZUL RURAL</t>
  </si>
  <si>
    <t>CLIENTE JÁ ATENDIDO PELA OBRA Y-0979091/9101575722- RR-CIND-FAZ-CEU AZUL-RURAL</t>
  </si>
  <si>
    <t>2026-16779</t>
  </si>
  <si>
    <t>2026-17048</t>
  </si>
  <si>
    <t>E964315 AO E964321</t>
  </si>
  <si>
    <t>D175922</t>
  </si>
  <si>
    <t xml:space="preserve">-11,794079 </t>
  </si>
  <si>
    <t>-40,628926</t>
  </si>
  <si>
    <t>H72362</t>
  </si>
  <si>
    <t>INTERCALAR POSTE AT COM N4-3 ENTRE OS PG: D175922 - D175923, FECHAR CHAVE NOVA PRÓBIMO AO PG: D175923 E ENERGIZAR OBRA.</t>
  </si>
  <si>
    <t>B-1082615</t>
  </si>
  <si>
    <t>B-1160229</t>
  </si>
  <si>
    <t>B-1160230</t>
  </si>
  <si>
    <t>LD CIND FAZ CALDEIRAO RURAL</t>
  </si>
  <si>
    <t>2026-21261</t>
  </si>
  <si>
    <t>E956662 AO E956666</t>
  </si>
  <si>
    <t>R098551</t>
  </si>
  <si>
    <t>-11.617822</t>
  </si>
  <si>
    <t xml:space="preserve"> -40.199817</t>
  </si>
  <si>
    <t>H81175</t>
  </si>
  <si>
    <t>R038551</t>
  </si>
  <si>
    <t>INTERCALAR POSTE AT COM N1 ENTRE OS PG: R098551 - R093850. ENCABEÇAR RD BT NO PG: E852092 E ENERGIZAR OBRA.</t>
  </si>
  <si>
    <t>B-1081548</t>
  </si>
  <si>
    <t>B-1081547</t>
  </si>
  <si>
    <t>LD-CCOL-POV NOVO SITIO 47-NOVO SITIO 47</t>
  </si>
  <si>
    <t>RECLAMAÇÃO</t>
  </si>
  <si>
    <t>Devolução Ok conforme projeto Intercalar um poste N1 3</t>
  </si>
  <si>
    <t>2026-16785</t>
  </si>
  <si>
    <t>2026-17050</t>
  </si>
  <si>
    <t>E964322 AO E964333</t>
  </si>
  <si>
    <t>L435409</t>
  </si>
  <si>
    <t>-11.850376</t>
  </si>
  <si>
    <t>-40.183393</t>
  </si>
  <si>
    <t>INTERCALAR POSTE AT COM N1-3 ENTRE OS PG: L435409 - L435404, FECHAR CHAVE NOVA PRÓBIMO AO PG: L435409  E ENERGIZAR OBRA.</t>
  </si>
  <si>
    <t>INTERCALAR POSTE AT COM N1-3 ENTRE OS PG: L435409 - L435404, FECHAR CHAVE NOVA PRÓXIMO AO PG: L435409  E ENERGIZAR OBRA</t>
  </si>
  <si>
    <t>B-1119065</t>
  </si>
  <si>
    <t>B-1119069</t>
  </si>
  <si>
    <t>B-1119066</t>
  </si>
  <si>
    <t>LD - CIND - POV JENIPAPO - RURAL</t>
  </si>
  <si>
    <t>2026-16786</t>
  </si>
  <si>
    <t>2026-16974</t>
  </si>
  <si>
    <t>2026-16975</t>
  </si>
  <si>
    <t>2026-16034</t>
  </si>
  <si>
    <t>E964334 AO E964342</t>
  </si>
  <si>
    <t>D393285</t>
  </si>
  <si>
    <t>-11,264870</t>
  </si>
  <si>
    <t>-40,603001</t>
  </si>
  <si>
    <t>V35046</t>
  </si>
  <si>
    <t>ALTERAR ESTRUTURA DE B3 P/ B4 NO PG: D393285, FECHAR CHAVE NOVA PRÓBIMO AO PG: D393285 E ENERGIZAR OBRA.</t>
  </si>
  <si>
    <t>B-1134466</t>
  </si>
  <si>
    <t>ER-CCOL-POV-LAGOA BONITA-RURAL</t>
  </si>
  <si>
    <t>visita pelo encarregado CLEBSON</t>
  </si>
  <si>
    <t>2026-21195</t>
  </si>
  <si>
    <t>2026-17051</t>
  </si>
  <si>
    <t>E964343 AO E964351</t>
  </si>
  <si>
    <t>E368312</t>
  </si>
  <si>
    <t>-10,821681</t>
  </si>
  <si>
    <t>-41,372975</t>
  </si>
  <si>
    <t>V34852</t>
  </si>
  <si>
    <t>INTERCALAR POSTE AT C/ N1 ENTRE OS PG: E368249 - E368250, ENCABEÇAR RD BT NO PG: E368251, E368333 E ENERGIZAR OBRA.</t>
  </si>
  <si>
    <t>B-1163378</t>
  </si>
  <si>
    <t>B-1191359</t>
  </si>
  <si>
    <t>B-1191759</t>
  </si>
  <si>
    <t>ER-CIND-FAZ CALDEIR O NOVO-RURAL</t>
  </si>
  <si>
    <t>2026-17067</t>
  </si>
  <si>
    <t>E964354 AO E964359</t>
  </si>
  <si>
    <t>E600945</t>
  </si>
  <si>
    <t>-11.970541</t>
  </si>
  <si>
    <t xml:space="preserve"> -40.109994</t>
  </si>
  <si>
    <t>D07815</t>
  </si>
  <si>
    <t>ENCABEÇAR RD BT NO PG: E600945 E ENERGIZAR OBRA.</t>
  </si>
  <si>
    <t>B-1167122</t>
  </si>
  <si>
    <t>B-1195479</t>
  </si>
  <si>
    <t>B-1195520</t>
  </si>
  <si>
    <t>ER-CIND-POV-PORTO FELIZ-RURAL</t>
  </si>
  <si>
    <t>ABRIR OC DE ENERGIZAÇÃO DIA 23/02</t>
  </si>
  <si>
    <t>2026-17070</t>
  </si>
  <si>
    <t>E964353</t>
  </si>
  <si>
    <t>B913928</t>
  </si>
  <si>
    <t>-11,749421</t>
  </si>
  <si>
    <t xml:space="preserve"> -40,717037</t>
  </si>
  <si>
    <t>TPM-01Z2</t>
  </si>
  <si>
    <t>J18351</t>
  </si>
  <si>
    <t>ENCABEÇAR RD BT NO PG: B913928 E ENERGIZAR OBRA.</t>
  </si>
  <si>
    <t>B-1084631</t>
  </si>
  <si>
    <t>B-1084633</t>
  </si>
  <si>
    <t>B-1084630</t>
  </si>
  <si>
    <t>ER CIND FAZENDA CURTUME RURAL</t>
  </si>
  <si>
    <t>ABRIR OC DE ENERGIZAÇÃO DIA 20/02
CLIENTE COM PADRÃO</t>
  </si>
  <si>
    <t>2026-16799</t>
  </si>
  <si>
    <t>E956678</t>
  </si>
  <si>
    <t>D096926</t>
  </si>
  <si>
    <t>-11,284159</t>
  </si>
  <si>
    <t xml:space="preserve"> -40,910152</t>
  </si>
  <si>
    <t>J56217</t>
  </si>
  <si>
    <t>INTERCALAR POSTE AT COM N1 ENTRE OS PG: D096926 - D096925, ENCABEÇAR RD BT NO PG: D096926  E ENERGIZAR OBRA.</t>
  </si>
  <si>
    <t>B-1166229</t>
  </si>
  <si>
    <t>B-1249871</t>
  </si>
  <si>
    <t>B-1249874</t>
  </si>
  <si>
    <t>ER-CIND-PO.ALCAPAO-RURAL</t>
  </si>
  <si>
    <t>2026-16808</t>
  </si>
  <si>
    <t>E956679 AO E956681</t>
  </si>
  <si>
    <t>B914836</t>
  </si>
  <si>
    <t>-10.764898</t>
  </si>
  <si>
    <t>-41.315116</t>
  </si>
  <si>
    <t>G35228</t>
  </si>
  <si>
    <t>INTERCALAR 02 POSTES AT COM N1 ENTRE OS PG: B914836 - B914828, ENCABEÇAR RD BT NO PG: B914836 E ENERGIZAR OBRA.</t>
  </si>
  <si>
    <t>B-1162823</t>
  </si>
  <si>
    <t>B-1249641</t>
  </si>
  <si>
    <t>B-1249722</t>
  </si>
  <si>
    <t>ER-CIND-FAZ-CHORORO 857-CHORORO</t>
  </si>
  <si>
    <t>2026-16810</t>
  </si>
  <si>
    <t>E956702 AO E956703</t>
  </si>
  <si>
    <t>E389562</t>
  </si>
  <si>
    <t>-11,059561</t>
  </si>
  <si>
    <t xml:space="preserve"> -40,783561</t>
  </si>
  <si>
    <t>V35007</t>
  </si>
  <si>
    <t>INTERCALAR POSTE AT COM N1 E TRAFO ENTRE OS PG: E389562, E389563, ALTERAR N1 EM N4 NO PG: E389563 E ENERGIZAR OBRA.</t>
  </si>
  <si>
    <t>B-1164197</t>
  </si>
  <si>
    <t>B-1195465</t>
  </si>
  <si>
    <t>B-1195507</t>
  </si>
  <si>
    <t>ER - CIND FAZ ALAGOAS - RURAL</t>
  </si>
  <si>
    <t>2026-17071</t>
  </si>
  <si>
    <t>E958115 AO E958116</t>
  </si>
  <si>
    <t>D353327</t>
  </si>
  <si>
    <t xml:space="preserve">-10,987119 </t>
  </si>
  <si>
    <t xml:space="preserve"> -41,034175</t>
  </si>
  <si>
    <t>W56337</t>
  </si>
  <si>
    <t>ENCABEÇAR RD BT NO PG: D353327 E ENERGIZAR OBRA.</t>
  </si>
  <si>
    <t>B-1091884</t>
  </si>
  <si>
    <t>ER-CIND-FAZ-VARGINHA-RURAL</t>
  </si>
  <si>
    <t>2026-16086</t>
  </si>
  <si>
    <t>R023628</t>
  </si>
  <si>
    <t>-10.957245</t>
  </si>
  <si>
    <t>-40.691234</t>
  </si>
  <si>
    <t>JCB-09N1</t>
  </si>
  <si>
    <t xml:space="preserve">J05580 </t>
  </si>
  <si>
    <t>ABRIR CH: J05580 PARA ADICIONAR FASE DO PG: R023628 AO B999649, SUBST. TF: V00016 POR 3F-30KVA, RECONDUTORAMENTO BT DO PG: B999648 AO B999683 E ENERGIZAR OBRA.</t>
  </si>
  <si>
    <t>B-1213899</t>
  </si>
  <si>
    <t>AC-COEL-FAZ-VELAME DE BAIXO-VELAME</t>
  </si>
  <si>
    <t>2026-16935</t>
  </si>
  <si>
    <t>2026-16642</t>
  </si>
  <si>
    <t>E956668 AO E956671</t>
  </si>
  <si>
    <t>R010871</t>
  </si>
  <si>
    <t>-11.196041</t>
  </si>
  <si>
    <t>-40.593457</t>
  </si>
  <si>
    <t>JCB-01M6</t>
  </si>
  <si>
    <t>J03671</t>
  </si>
  <si>
    <t>N55078</t>
  </si>
  <si>
    <t>83</t>
  </si>
  <si>
    <t>9</t>
  </si>
  <si>
    <t>5</t>
  </si>
  <si>
    <t>415</t>
  </si>
  <si>
    <t>FAZENDA VELAME DE BAIXO, FAZENDA VELAME,  POVOADO  VELAME DE BAIXO, POVOADO VELAME DE CIMA,POVOADO VELAME, RODOVIA JACOBINA MIGUEL CALMON.</t>
  </si>
  <si>
    <t>ADICIONAR FASE DO PG: R010871 AO D702227 E ENERGIZAR OBRA.</t>
  </si>
  <si>
    <t>B-1135060</t>
  </si>
  <si>
    <t>ER-CIND-FAZ-JUREMINHA -RURAL</t>
  </si>
  <si>
    <t>2026-16819</t>
  </si>
  <si>
    <t>E956699 AO E956701</t>
  </si>
  <si>
    <t>R000376</t>
  </si>
  <si>
    <t>-11,270379</t>
  </si>
  <si>
    <t xml:space="preserve"> -40,289910</t>
  </si>
  <si>
    <t>JCB-09N2</t>
  </si>
  <si>
    <t>G12521</t>
  </si>
  <si>
    <t>INTERCALAR POSTE AT COM N1 E TRAFO ENTRE OS PG: R000376 - R000377, FECHAR CHAVE NOVA PRÓBIMO AO PG: R000376  E ENERGIZAR OBRA.</t>
  </si>
  <si>
    <t>B-1156430</t>
  </si>
  <si>
    <t>EQ GRUA FAZ DANIANA RURAL</t>
  </si>
  <si>
    <t>ENVIAR PARA REVISÃO DE PROJETO 
CLIENTE ALTEROU PONTO DE ENTREGA / CONEXÃO
SUBST. CABO4 POR 336,4 E INSTALAR RL</t>
  </si>
  <si>
    <t>MMGD</t>
  </si>
  <si>
    <t>VISITAR</t>
  </si>
  <si>
    <t>2026-16822</t>
  </si>
  <si>
    <t>2026-16050</t>
  </si>
  <si>
    <t>D699667</t>
  </si>
  <si>
    <t>-11.141445</t>
  </si>
  <si>
    <t>-40.589509</t>
  </si>
  <si>
    <t>N49874</t>
  </si>
  <si>
    <t>SUBSTITUIR POSTE AT NO PG: D699667 POR 12/1500 E ENERGIZAR OBRA.</t>
  </si>
  <si>
    <t>B-0998925</t>
  </si>
  <si>
    <t>B-1073654</t>
  </si>
  <si>
    <t>B-1073655</t>
  </si>
  <si>
    <t>ER-CIND-FAZ-04 IRMAS-ITAPURA</t>
  </si>
  <si>
    <t>CASA EM RUÍNAS - VISITA AR NAILTON</t>
  </si>
  <si>
    <t>2026-16836</t>
  </si>
  <si>
    <t>E956682 E E956683</t>
  </si>
  <si>
    <t>R035829</t>
  </si>
  <si>
    <t>-11,553948</t>
  </si>
  <si>
    <t>-40,447567</t>
  </si>
  <si>
    <t>J13780</t>
  </si>
  <si>
    <t>INTERCALAR 02 POSTES AT COM N1 E N1 E TRAFO ENTRE OS PG: R035829 - R035828 E ENERGIZAR OBRA.</t>
  </si>
  <si>
    <t>B-1162800</t>
  </si>
  <si>
    <t>ER-CIND-ROD-JACOBINA-RURAL</t>
  </si>
  <si>
    <t>ABRIR OC DE ENERGIZAÇÃO DIA 20/02</t>
  </si>
  <si>
    <t>PLANO 14.7.3-LPT - ALTERAR P/ 7</t>
  </si>
  <si>
    <t>2026-17072</t>
  </si>
  <si>
    <t>E236428</t>
  </si>
  <si>
    <t>-11,219692</t>
  </si>
  <si>
    <t xml:space="preserve"> -40,586395</t>
  </si>
  <si>
    <t>J03543</t>
  </si>
  <si>
    <t>INTRECALAR POSTE BT ENTRE OS PG: E236428 - E236427 E ENERGIZAR OBRA.</t>
  </si>
  <si>
    <t>B-1170718</t>
  </si>
  <si>
    <t>2026-17075</t>
  </si>
  <si>
    <t>E956659 AO E956661</t>
  </si>
  <si>
    <t>2026-2-17617</t>
  </si>
  <si>
    <t>E215853</t>
  </si>
  <si>
    <t>-11,221540</t>
  </si>
  <si>
    <t xml:space="preserve"> -40,413281</t>
  </si>
  <si>
    <t>J04398</t>
  </si>
  <si>
    <t>ENCABEÇAR RD BT NO PG: E215853 E ENERGIZAR OBRA.</t>
  </si>
  <si>
    <t>B-1171886</t>
  </si>
  <si>
    <t>B-1225401</t>
  </si>
  <si>
    <t>B-1225496</t>
  </si>
  <si>
    <t>ER-CIND-FAZ-CURTUME-RURAL</t>
  </si>
  <si>
    <t>CLIENTE COM PADRÃO</t>
  </si>
  <si>
    <t>2026-16847</t>
  </si>
  <si>
    <t>E956691</t>
  </si>
  <si>
    <t>D096885</t>
  </si>
  <si>
    <t>-11,308705</t>
  </si>
  <si>
    <t xml:space="preserve"> -40,891932</t>
  </si>
  <si>
    <t>INTERCALAR POSTE AT COM N1 E TRAFO ENTRE OS PG: D096885 - D096884, FECHAR CHAVE NOVA PRÓBIMO AO PG: D096885  E ENERGIZAR OBRA.</t>
  </si>
  <si>
    <t>B-1175524</t>
  </si>
  <si>
    <t>ER-CIND-POV-OLHOS DAGUA DE CIMA-RURAL</t>
  </si>
  <si>
    <t>2026-17078</t>
  </si>
  <si>
    <t>E956688 AO E956690</t>
  </si>
  <si>
    <t>B185905</t>
  </si>
  <si>
    <t>-11.320497</t>
  </si>
  <si>
    <t xml:space="preserve"> -40.550886</t>
  </si>
  <si>
    <t>W64988</t>
  </si>
  <si>
    <t>ENCABEÇAR RD BT NO PG: D185905 E ENERGIZAR OBRA.</t>
  </si>
  <si>
    <t>B-1099356</t>
  </si>
  <si>
    <t>B-1249661</t>
  </si>
  <si>
    <t>B-1249742</t>
  </si>
  <si>
    <t>ER-CIND-FAZ-CABO FRIO-TOMBADOR</t>
  </si>
  <si>
    <t>OBRA VISITADA/ CONFORME PROJETO</t>
  </si>
  <si>
    <t>2026-16861</t>
  </si>
  <si>
    <t>2026-17058</t>
  </si>
  <si>
    <t>1049766</t>
  </si>
  <si>
    <t>E971183 AO E971193</t>
  </si>
  <si>
    <t>D699677</t>
  </si>
  <si>
    <t>-11.080526</t>
  </si>
  <si>
    <t xml:space="preserve"> -40.713829</t>
  </si>
  <si>
    <t>N36765</t>
  </si>
  <si>
    <t xml:space="preserve">D699677 </t>
  </si>
  <si>
    <t>INTERCALAR POSTE AT COM  N1-3 ENTRE OS PG: D699677 - D699733, FECHAR CHAVE NOVA PRÓXIMO AO PG: D699677  E ENERGIZAR OBRA.</t>
  </si>
  <si>
    <t>B-0996660</t>
  </si>
  <si>
    <t>AC-CIND-FAZ-TIGRE 300-RURAL CRUZ DE ALMA</t>
  </si>
  <si>
    <t>2026-16901</t>
  </si>
  <si>
    <t>2026-16029</t>
  </si>
  <si>
    <t>E956719</t>
  </si>
  <si>
    <t>L436793</t>
  </si>
  <si>
    <t>-11,699621</t>
  </si>
  <si>
    <t xml:space="preserve"> -40,012811</t>
  </si>
  <si>
    <t>T20294</t>
  </si>
  <si>
    <t>INTERCALAR POSTE AT COM N1 E TRAFO ENTRE OS PG: L436793- L436795 E ENERGIZAR OBRA.</t>
  </si>
  <si>
    <t>B-0939733</t>
  </si>
  <si>
    <t>ER-CIND-POV TAMBADOR 1-TOMBADOR-JCB</t>
  </si>
  <si>
    <t>2026-21147</t>
  </si>
  <si>
    <t>E956716 AO E956718</t>
  </si>
  <si>
    <t>D699714</t>
  </si>
  <si>
    <t>-11,081851</t>
  </si>
  <si>
    <t xml:space="preserve"> -40,704643</t>
  </si>
  <si>
    <t>INTERCALAR POSTE AT COM N1 ENTRE OS PG: D699714 - D699715, ENCABEÇAR RD BT NO PG: D699715 E ENERGIZAR OBRA.</t>
  </si>
  <si>
    <t>B-0937756</t>
  </si>
  <si>
    <t>ER-CIND-POV COVA DE BAIXO-RURAL-MGC</t>
  </si>
  <si>
    <t>CLIENTE JÁ ATENIDIDO ATRAVÉS DO PROJETO Y-0804985 / 9101014030 - ER-CCOL-POV COVA DE BAIXO-RURAL - MIGUEL CALMON</t>
  </si>
  <si>
    <t>FVP - 13/02/26</t>
  </si>
  <si>
    <t>2026-17079</t>
  </si>
  <si>
    <t>E956686 AO E956687</t>
  </si>
  <si>
    <t>R017623</t>
  </si>
  <si>
    <t>-11.388281</t>
  </si>
  <si>
    <t>-40.495356</t>
  </si>
  <si>
    <t>J04331</t>
  </si>
  <si>
    <t>ENCABEÇAR RD BT NO PG: R017623 E ENERGIZAR OBRA.</t>
  </si>
  <si>
    <t>B-1026905</t>
  </si>
  <si>
    <t>AC-CIND-ET-JACOBINA ESCONCIO KM 18-RURAL</t>
  </si>
  <si>
    <t>2026-16908</t>
  </si>
  <si>
    <t>E956715</t>
  </si>
  <si>
    <t>D110448</t>
  </si>
  <si>
    <t>-11,229715</t>
  </si>
  <si>
    <t xml:space="preserve"> -40,312684</t>
  </si>
  <si>
    <t>J02121</t>
  </si>
  <si>
    <t>INTERCALAR POSTE AT COM N1 E TRAFO ENTRE OS PG: D110448 - D110447 E ENERGIZAR OBRA.</t>
  </si>
  <si>
    <t>B-1027693</t>
  </si>
  <si>
    <t>AC-CIND-POV-QUEIMADA NOVA 50-RURAL</t>
  </si>
  <si>
    <t>ABRIR OC DE ENERGIZAÇÃO DIA 18/02</t>
  </si>
  <si>
    <t>2026-18177</t>
  </si>
  <si>
    <t>E956684 AO E956685</t>
  </si>
  <si>
    <t>R034701</t>
  </si>
  <si>
    <t>-11.369530</t>
  </si>
  <si>
    <t>-40.648903</t>
  </si>
  <si>
    <t>V19226</t>
  </si>
  <si>
    <t>ENCABEÇAR RD BT NO PG: E059297 E ENERGIZAR OBRA.</t>
  </si>
  <si>
    <t>B-1124357</t>
  </si>
  <si>
    <t>B-1239939</t>
  </si>
  <si>
    <t>B-1240186</t>
  </si>
  <si>
    <t>ER-CIND-FAZ-CALDEIRAO 59-RURAL</t>
  </si>
  <si>
    <r>
      <rPr>
        <rFont val="Calibri"/>
        <color rgb="FF0563C1"/>
        <sz val="9.0"/>
        <u/>
      </rPr>
      <t xml:space="preserve">2026-16909
</t>
    </r>
    <r>
      <rPr>
        <rFont val="Calibri"/>
        <sz val="9.0"/>
      </rPr>
      <t>2026-23578</t>
    </r>
  </si>
  <si>
    <t>2026-18628</t>
  </si>
  <si>
    <t>E852092 AO E852093/E956677</t>
  </si>
  <si>
    <t>R038550</t>
  </si>
  <si>
    <t xml:space="preserve">   -11,615855</t>
  </si>
  <si>
    <t>-40,200585</t>
  </si>
  <si>
    <t>INTERCALAR POSTE AT COM N4 ENTRE OS PG: R038550 - R038549, SUBSTITUIR POSTE AT POR 11/1000 NO PG: R038550  E ENERGIZAR OBRA.</t>
  </si>
  <si>
    <t>B-1146568</t>
  </si>
  <si>
    <t>IT-GRUA-ROD-BA 368 KM 28-RURAL</t>
  </si>
  <si>
    <t>PARALISADA</t>
  </si>
  <si>
    <t>PONTO DE ENTREGA NÃO EXECUTADO- INTERROMPER NOTA</t>
  </si>
  <si>
    <t>GRUPO A</t>
  </si>
  <si>
    <t>FVP - 06/02-26</t>
  </si>
  <si>
    <t>2026-16919</t>
  </si>
  <si>
    <t>D072159</t>
  </si>
  <si>
    <t>-10,800059</t>
  </si>
  <si>
    <t xml:space="preserve"> -41,023771</t>
  </si>
  <si>
    <t>J55540</t>
  </si>
  <si>
    <t>INTERCALAR POSTE AT COM N1-3 ENTRE OS PG: D072159 - D072158  E ENERGIZAR OBRA.</t>
  </si>
  <si>
    <t>B-1165188</t>
  </si>
  <si>
    <t>B-1195469</t>
  </si>
  <si>
    <t>B-1195511</t>
  </si>
  <si>
    <t>ER-CIND-FAZ-CANAVIAL 249-ITALEGRE</t>
  </si>
  <si>
    <t>2026-17081</t>
  </si>
  <si>
    <t>L382294</t>
  </si>
  <si>
    <t>-11,960430</t>
  </si>
  <si>
    <t>-40,223918</t>
  </si>
  <si>
    <t>ENCABEÇAR RD BT NO PG: L382294 E ENERGIZAR OBRA.</t>
  </si>
  <si>
    <t>B-1055092</t>
  </si>
  <si>
    <t>AC-CIND-ET-PIRITIBA A PAU FERRO-RURAL</t>
  </si>
  <si>
    <t>2026-17083</t>
  </si>
  <si>
    <t>E956704 AO E956706</t>
  </si>
  <si>
    <t>D172669</t>
  </si>
  <si>
    <t>-11,749292</t>
  </si>
  <si>
    <t xml:space="preserve"> -40,567062</t>
  </si>
  <si>
    <t>H72321</t>
  </si>
  <si>
    <t>ENCABEÇAR RD BT NO PG: D172669 E ENERGIZAR OBRA.</t>
  </si>
  <si>
    <t>B-1056746</t>
  </si>
  <si>
    <t>AC-CIND-POV-ANDARAIA-RURAL</t>
  </si>
  <si>
    <t>2026-16920</t>
  </si>
  <si>
    <t>2026-17064</t>
  </si>
  <si>
    <t>E956707 AO E956710</t>
  </si>
  <si>
    <t>D072814</t>
  </si>
  <si>
    <t xml:space="preserve">  -11,699141</t>
  </si>
  <si>
    <t>-40,690683</t>
  </si>
  <si>
    <t>J56535</t>
  </si>
  <si>
    <t>INTERCALAR POSTE AT COM N1 E TRAFO ENTRE OS PG: D072814 - D072802, FECHAR CHAVE NOVA PRÓBIMO AO PG: D072802 E ENERGIZAR OBRA.</t>
  </si>
  <si>
    <t>B-1068851</t>
  </si>
  <si>
    <t>AC-CIND-POV-LAGEDO DO BRAGA-RURAL</t>
  </si>
  <si>
    <t>GilVANDO RIOS DA CRUZ - NTS025538</t>
  </si>
  <si>
    <t>2026-16923</t>
  </si>
  <si>
    <t>E956695 AO E956698</t>
  </si>
  <si>
    <t>R037814</t>
  </si>
  <si>
    <t xml:space="preserve">-11,423592 </t>
  </si>
  <si>
    <t>-40,371507</t>
  </si>
  <si>
    <t>H76169</t>
  </si>
  <si>
    <t>INTERCALAR POSTE AT COM N1 E TRAFO ENTRE OS PG: R037814 - R037813  E ENERGIZAR OBRA.</t>
  </si>
  <si>
    <t>B-1113609</t>
  </si>
  <si>
    <t>ER-CIND-POV-VITORIO-CATARINA</t>
  </si>
  <si>
    <t>CLIENT JÁ ATENDIDO PELA OBRA Y-1028026 -  MP-CCOL-FAZ.JOÃO MAMÃO-RURAL - OUROLÂNDIA</t>
  </si>
  <si>
    <t>2026-16927</t>
  </si>
  <si>
    <t>B567572</t>
  </si>
  <si>
    <t>-10,877247</t>
  </si>
  <si>
    <t>-41,249440</t>
  </si>
  <si>
    <t>H90643</t>
  </si>
  <si>
    <t>INTERCALAR POSTE AT COM N1 E TRAFO ENTRE OS PG: B567572 - B567571, FECHAR CHAVE NOVA PRÓBIMO AO PG: B567572  E ENERGIZAR OBRA.</t>
  </si>
  <si>
    <t>B-1166341</t>
  </si>
  <si>
    <t>B-1182048</t>
  </si>
  <si>
    <t>B-1182077</t>
  </si>
  <si>
    <t>ER-CIND-FAZ-JENIPAPEIRO-RURAL</t>
  </si>
  <si>
    <t>2026-22250</t>
  </si>
  <si>
    <t>E956672 ao E956676</t>
  </si>
  <si>
    <t>B369452</t>
  </si>
  <si>
    <t>-11,347057</t>
  </si>
  <si>
    <t>-40,485191</t>
  </si>
  <si>
    <t>V20402</t>
  </si>
  <si>
    <t>ENCABEÇAR RD BT NO PG: B369452 E ENERGIZAR OBRA.</t>
  </si>
  <si>
    <t>B-1242048</t>
  </si>
  <si>
    <t>AC-CIND-FAZ-PAMPULHA-RURAL</t>
  </si>
  <si>
    <t>2026-16065</t>
  </si>
  <si>
    <t>R040770</t>
  </si>
  <si>
    <t>-11,538613</t>
  </si>
  <si>
    <t>-40,371584</t>
  </si>
  <si>
    <t>E21128</t>
  </si>
  <si>
    <t>ABRIR CHAVE DO TRAFO: XXX PARA RECONDUTORAMENTO BT DO PG: R040770 AO R040773 E ENERGIZAR OBRA.</t>
  </si>
  <si>
    <t>B-1242063</t>
  </si>
  <si>
    <t>ER-CIND-POV-ALTAMIRA 525-MASSAMBAO</t>
  </si>
  <si>
    <t>2026-16932</t>
  </si>
  <si>
    <t>E956655 AO E956658</t>
  </si>
  <si>
    <t>R032722</t>
  </si>
  <si>
    <t>-11,573000</t>
  </si>
  <si>
    <t>-40,646892</t>
  </si>
  <si>
    <t>J04696</t>
  </si>
  <si>
    <t>INTERCALAR POSTE AT COM N1 ENTRE OS PG: R032722 - R032723, ENCABEÇAR RD BT NO PG: R032722 E ENERGIZAR OBRA.</t>
  </si>
  <si>
    <t>2026-16612</t>
  </si>
  <si>
    <t>1049373</t>
  </si>
  <si>
    <t>E965028 AO E965038</t>
  </si>
  <si>
    <t>R033047</t>
  </si>
  <si>
    <t>-11.463137</t>
  </si>
  <si>
    <t>-40,754921</t>
  </si>
  <si>
    <t>J08326</t>
  </si>
  <si>
    <t>ABRIR CHAVE: J03329 P/ INTERCALAR POSTE BT ENTRE OS PG: R033047 - R033048 E ENERGIZAR OBRA.</t>
  </si>
  <si>
    <t>B-1077490</t>
  </si>
  <si>
    <t>B-1191387</t>
  </si>
  <si>
    <t>B-1191814</t>
  </si>
  <si>
    <t>LD-CIND-POV.AURORA RURAL</t>
  </si>
  <si>
    <t>2026-21200</t>
  </si>
  <si>
    <t>2026-17056</t>
  </si>
  <si>
    <t>E956723 AO E956726</t>
  </si>
  <si>
    <t>B170875</t>
  </si>
  <si>
    <t>-10.85198</t>
  </si>
  <si>
    <t>-41.023771</t>
  </si>
  <si>
    <t>G06235</t>
  </si>
  <si>
    <t>MONTAR BANCADA C/ N3  NO PG: B170875  E ENERGIZAR OBRA.</t>
  </si>
  <si>
    <t>B-1079863</t>
  </si>
  <si>
    <t>ER-CIND-FAZ-MATA DO MEL-RURAL</t>
  </si>
  <si>
    <t>RETIADA DA CARTEIRA POR FALTA DE MATERIAIS E  SENDO EXECUTADA PELA EPS SIPEL.</t>
  </si>
  <si>
    <t>2026-21762</t>
  </si>
  <si>
    <t>2026-21780</t>
  </si>
  <si>
    <t>E973386 AO E973399</t>
  </si>
  <si>
    <t>D531135</t>
  </si>
  <si>
    <t>-11.152636</t>
  </si>
  <si>
    <t>-40.840281</t>
  </si>
  <si>
    <t>H62649</t>
  </si>
  <si>
    <t>B-1079517</t>
  </si>
  <si>
    <t>ER-CIND-POV-SALINAS-SALINAS</t>
  </si>
  <si>
    <t>2026-21710</t>
  </si>
  <si>
    <t>E973400 AO E973414</t>
  </si>
  <si>
    <t>Q131667</t>
  </si>
  <si>
    <t>-11.222651</t>
  </si>
  <si>
    <t>-40.942862</t>
  </si>
  <si>
    <t>J17556</t>
  </si>
  <si>
    <t>B-1039528</t>
  </si>
  <si>
    <t>MP CIND POV MALVA RURAL</t>
  </si>
  <si>
    <t>2026-21776</t>
  </si>
  <si>
    <t>2026-21787</t>
  </si>
  <si>
    <t>E973415 AO E973437</t>
  </si>
  <si>
    <t>B331331</t>
  </si>
  <si>
    <t>-11.155772</t>
  </si>
  <si>
    <t xml:space="preserve"> -40.989048</t>
  </si>
  <si>
    <t>G06516</t>
  </si>
  <si>
    <t xml:space="preserve">BASE DASH JACOBINA
</t>
  </si>
  <si>
    <t>https://lookerstudio.google.com/u/1/reporting/264ef656-41f8-4ce8-9bc5-a169ff13b5e6/page/page_12345</t>
  </si>
  <si>
    <t>CONTROLE DE MATERIAS JACOBINA</t>
  </si>
  <si>
    <t>https://docs.google.com/spreadsheets/d/1ZrIbRwjNB5R37v5XTs6iZcIibafCrBVXqRA5XTH5ZB4/edit?gid=181266678#gid=181266678&amp;fvid=1174299509</t>
  </si>
  <si>
    <t>DASH JACOBINA</t>
  </si>
  <si>
    <t xml:space="preserve">BASE DASH IRECÊ
</t>
  </si>
  <si>
    <t>CONTROLE DE MATERIAS IRECÊ</t>
  </si>
  <si>
    <t>https://docs.google.com/spreadsheets/d/1-Nr4-VM8I-KfVPofgAs3yPc5btT1v9KHDylkT7uOBIc/edit?usp=sharing</t>
  </si>
  <si>
    <t>DASH IRECÊ</t>
  </si>
  <si>
    <t>https://lookerstudio.google.com/s/sPJRdf3jgD8</t>
  </si>
  <si>
    <t>https://docs.google.com/spreadsheets/d/1hx6jlSqtUQswElG6dIS52z5vTaNU0uVgruNJ9_ZutD8/edit?usp=sharing</t>
  </si>
  <si>
    <t>JAN/26</t>
  </si>
  <si>
    <r>
      <rPr>
        <rFont val="Arial"/>
        <b/>
        <color rgb="FF1155CC"/>
        <sz val="9.0"/>
        <u/>
      </rPr>
      <t>PES</t>
    </r>
    <r>
      <rPr>
        <rFont val="Calibri, sans-serif"/>
        <b/>
        <color rgb="FF000000"/>
        <sz val="9.0"/>
      </rPr>
      <t xml:space="preserve">
 P</t>
    </r>
    <r>
      <rPr>
        <rFont val="Calibri, sans-serif"/>
        <b/>
        <color rgb="FF000000"/>
        <sz val="9.0"/>
      </rPr>
      <t>D</t>
    </r>
  </si>
  <si>
    <t>B-1161926</t>
  </si>
  <si>
    <t>B-1189407</t>
  </si>
  <si>
    <t>B-1189428</t>
  </si>
  <si>
    <t>ER-CIND-FAZ-BOLIVIA-RURAL</t>
  </si>
  <si>
    <t>2025-162934</t>
  </si>
  <si>
    <t>E836180 AO E836181</t>
  </si>
  <si>
    <t>2026-1-41080</t>
  </si>
  <si>
    <t>L382657</t>
  </si>
  <si>
    <t>-11,987972</t>
  </si>
  <si>
    <t xml:space="preserve"> -40,208185</t>
  </si>
  <si>
    <t>MUN-01N3</t>
  </si>
  <si>
    <t>T16289</t>
  </si>
  <si>
    <t>ENCABEÇAR RD BT NO PG: L382657 E ENERGIZAR OBRA.</t>
  </si>
  <si>
    <t>B-1168461</t>
  </si>
  <si>
    <t>B-1239994</t>
  </si>
  <si>
    <t>B-1240259</t>
  </si>
  <si>
    <t>2025-162942</t>
  </si>
  <si>
    <t>E836182 AO E836184</t>
  </si>
  <si>
    <t>2026-1-60669</t>
  </si>
  <si>
    <t>L382664</t>
  </si>
  <si>
    <t>-11,987804</t>
  </si>
  <si>
    <t>-40,210105</t>
  </si>
  <si>
    <t>ENCABEÇAR RD BT NO PG: L382664 E ENERGIZAR OBRA.</t>
  </si>
  <si>
    <t>B-1234315</t>
  </si>
  <si>
    <t>ER-CIND-POV-NOVO SITIO 58-NOVO SITIO</t>
  </si>
  <si>
    <t>2025-162944</t>
  </si>
  <si>
    <t>E836185 AO E836188</t>
  </si>
  <si>
    <t>2026-1-40881</t>
  </si>
  <si>
    <t>L435451</t>
  </si>
  <si>
    <t xml:space="preserve">-11,843772 </t>
  </si>
  <si>
    <t>-40,179003</t>
  </si>
  <si>
    <t>T15882</t>
  </si>
  <si>
    <t>ENCABEÇAR RD BT NO PG:  L435451 E ENERGIZAR OBRA.</t>
  </si>
  <si>
    <t>B-1234868</t>
  </si>
  <si>
    <t>ER-CIND-POV PAGAO 701-PAGAO</t>
  </si>
  <si>
    <t>2026-8693</t>
  </si>
  <si>
    <t>E852079 AO E852081</t>
  </si>
  <si>
    <t>2026-1-81091</t>
  </si>
  <si>
    <t>D241077</t>
  </si>
  <si>
    <t>-11,857348</t>
  </si>
  <si>
    <t>-40,140947</t>
  </si>
  <si>
    <t>H87564</t>
  </si>
  <si>
    <t>ENCABEÇAR RD BT NO PG:  D241077 E ENERGIZAR OBRA.</t>
  </si>
  <si>
    <t>B-0450746</t>
  </si>
  <si>
    <t>SUBST. PELA OBRA B-0433453 - LD - FAZ. QUEIMADAS, QUE É UMA DUPLICIDADE COM A OBRA B-0433446.</t>
  </si>
  <si>
    <t>S/ MAGNÉTICO</t>
  </si>
  <si>
    <t>SEM MAGNETICO</t>
  </si>
  <si>
    <t>SMG</t>
  </si>
  <si>
    <t>B-1146184</t>
  </si>
  <si>
    <t>ER-CIND-POV-CAMPO LIMPO-MANDACARU-RURAL</t>
  </si>
  <si>
    <t>MIGRADO DE DEZ/2025</t>
  </si>
  <si>
    <t>PRIORIDADE PLANO ANEEL</t>
  </si>
  <si>
    <t>Instalar Bancada no poste eBistente PG E532264, N3</t>
  </si>
  <si>
    <t>2026-757</t>
  </si>
  <si>
    <t>2026-773</t>
  </si>
  <si>
    <t>E810382 E E810383</t>
  </si>
  <si>
    <t>2026-1-53443</t>
  </si>
  <si>
    <t>L434475</t>
  </si>
  <si>
    <t>-12,012929</t>
  </si>
  <si>
    <t>-40,081908</t>
  </si>
  <si>
    <t>T16021</t>
  </si>
  <si>
    <t>MONTAR BANCADA P/ TRAFO NO POSTE NOVO PRÓBIMO AO PG: L434475,   FECHAR CHAVE NOVA PRÓBIMO AO PG: L434475 E ENERGIZAR OBRA.</t>
  </si>
  <si>
    <t>B-1191504</t>
  </si>
  <si>
    <t>IE-REGULADOR-VLN-01N5-A246999</t>
  </si>
  <si>
    <t>GAVIÃO</t>
  </si>
  <si>
    <t>REGULADORES DE TENSÃO</t>
  </si>
  <si>
    <t>EQUIPAMENTO</t>
  </si>
  <si>
    <t>OK</t>
  </si>
  <si>
    <r>
      <rPr>
        <rFont val="Calibri"/>
        <color rgb="FF0000FF"/>
        <sz val="9.0"/>
        <u/>
      </rPr>
      <t xml:space="preserve">2026-1362
</t>
    </r>
    <r>
      <rPr>
        <rFont val="Calibri"/>
        <color rgb="FF0000FF"/>
        <sz val="9.0"/>
        <u/>
      </rPr>
      <t xml:space="preserve">2026-1368
2026-3870
2026-1367
</t>
    </r>
    <r>
      <rPr>
        <rFont val="Calibri"/>
        <color rgb="FF000000"/>
        <sz val="9.0"/>
        <u/>
      </rPr>
      <t>2026-8325</t>
    </r>
  </si>
  <si>
    <t>2026-1367</t>
  </si>
  <si>
    <t>E852153 E E852154</t>
  </si>
  <si>
    <t>2026-1-55956</t>
  </si>
  <si>
    <t>A262506</t>
  </si>
  <si>
    <t>-11,506500</t>
  </si>
  <si>
    <t>-39,735161</t>
  </si>
  <si>
    <t>VLN-01N5</t>
  </si>
  <si>
    <t>W62036</t>
  </si>
  <si>
    <t>INTERCALAR 02 POSTES AT COM N1 E BANCO DE RELIGADOR ENTRE OS PG: A262506 - A262505, INSTALAR REGULADOR  E ENERGIZAR OBRA.</t>
  </si>
  <si>
    <t>B-1091401</t>
  </si>
  <si>
    <t>RR-CIND-FAZ-PIANCO-RURAL ITAIPU</t>
  </si>
  <si>
    <t>VISITADA PELO ENCARREGADO, CONFORME PROJETO</t>
  </si>
  <si>
    <t>2025-147958</t>
  </si>
  <si>
    <t>2026-776</t>
  </si>
  <si>
    <t>1043404</t>
  </si>
  <si>
    <t>E918169 AO E918182</t>
  </si>
  <si>
    <t>2026-1-25059</t>
  </si>
  <si>
    <t>B652820</t>
  </si>
  <si>
    <t>-11,327683</t>
  </si>
  <si>
    <t>-40,487102</t>
  </si>
  <si>
    <t>J58052</t>
  </si>
  <si>
    <t>ALTERAR ESTRUTURA DE N3-3 P/ N4-3 NO PG: B652820, FECHAR CHAVE NOVA PRÓBIMO AO PG: B652820 E ENERGIZAR OBRA.</t>
  </si>
  <si>
    <t>B-1065896</t>
  </si>
  <si>
    <t>LD-CIND-FAZ PIANCO-RURAL-JCB</t>
  </si>
  <si>
    <t>VISITADA PELO ENCARREGADO. APTA.</t>
  </si>
  <si>
    <t>2025-152039</t>
  </si>
  <si>
    <t>2026-2848</t>
  </si>
  <si>
    <t>2026-778</t>
  </si>
  <si>
    <t>1043415</t>
  </si>
  <si>
    <t>E918316 AO E918322</t>
  </si>
  <si>
    <t>2026-1-43975</t>
  </si>
  <si>
    <t>D089029</t>
  </si>
  <si>
    <t>-11,311038</t>
  </si>
  <si>
    <t>-40,480778</t>
  </si>
  <si>
    <t>J58065</t>
  </si>
  <si>
    <t>SUBSTITUIR POSTE AT 11/600 POR 11/1000 C/ N3 CE3 NO PG: D089029 ,  FECHAR CHAVE NOVA PRÓBIMO AO PG: D089029 E ENERGIZAR OBRA.</t>
  </si>
  <si>
    <t>B-1231135</t>
  </si>
  <si>
    <t>RR-CIND-POV-PAU FERRO-PARAISO</t>
  </si>
  <si>
    <t>VISITADA / EXECUTAR CONFORME PROJETO</t>
  </si>
  <si>
    <r>
      <rPr>
        <rFont val="Calibri"/>
        <color rgb="FF0000FF"/>
        <sz val="9.0"/>
        <u/>
      </rPr>
      <t>2025-151250</t>
    </r>
    <r>
      <rPr>
        <rFont val="Calibri"/>
        <color rgb="FF0000FF"/>
        <sz val="9.0"/>
      </rPr>
      <t xml:space="preserve">
</t>
    </r>
    <r>
      <rPr>
        <rFont val="Calibri"/>
        <color rgb="FF0000FF"/>
        <sz val="9.0"/>
        <u/>
      </rPr>
      <t xml:space="preserve">2025-151257
</t>
    </r>
    <r>
      <rPr>
        <rFont val="Calibri"/>
        <color rgb="FF0000FF"/>
        <sz val="9.0"/>
      </rPr>
      <t>2026-1372</t>
    </r>
  </si>
  <si>
    <t>2026-782</t>
  </si>
  <si>
    <t>2025-151973</t>
  </si>
  <si>
    <t>1043421</t>
  </si>
  <si>
    <t>E918552 AO E918558</t>
  </si>
  <si>
    <t>2026-1-22242</t>
  </si>
  <si>
    <t xml:space="preserve">R010445 </t>
  </si>
  <si>
    <t>-11,167066</t>
  </si>
  <si>
    <t>-40,623383</t>
  </si>
  <si>
    <t>W63726</t>
  </si>
  <si>
    <t>J54721, J03577, J03578, G16761</t>
  </si>
  <si>
    <t>252</t>
  </si>
  <si>
    <t>14</t>
  </si>
  <si>
    <t>4</t>
  </si>
  <si>
    <t>ESTRADA PAU FERRO, POVOADO PAU FERRO, RUA PAU FERRO.</t>
  </si>
  <si>
    <t>R010445</t>
  </si>
  <si>
    <t>FECHAR CHAVE NOVA PRÓBIMO AO PG: R010445 E ENERGIZAR OBRA.</t>
  </si>
  <si>
    <t>B-1055194</t>
  </si>
  <si>
    <t>MP-CIND-RUA-DO TAMANCO-RURAL</t>
  </si>
  <si>
    <t>EXECUTAR EM CONJUNTO COM B-1135561</t>
  </si>
  <si>
    <t>2025-162650</t>
  </si>
  <si>
    <t>2025-163159</t>
  </si>
  <si>
    <t>2025-162602</t>
  </si>
  <si>
    <t>1045670</t>
  </si>
  <si>
    <t>E932177 AO E932190</t>
  </si>
  <si>
    <t>2026-1-80954</t>
  </si>
  <si>
    <t>R037018</t>
  </si>
  <si>
    <t>-40,651573</t>
  </si>
  <si>
    <t>J08711</t>
  </si>
  <si>
    <t>INTERCALAR POSTE AT COM N4-3 ENTRE OS PG: R037024 - R037025, FECHAR CHAVE NOVA PRÓBIMO AO PG: R037024 E ENERGIZAR OBRA.</t>
  </si>
  <si>
    <t>B-1058844</t>
  </si>
  <si>
    <t>AC-CIND-POV-MULUNGU D CHIOLA-RURAL</t>
  </si>
  <si>
    <t>DERIVA DO PROJETO: B-1036895</t>
  </si>
  <si>
    <t>INSTITUCIONAL</t>
  </si>
  <si>
    <t>VISITADA PELO ENCARREGADO. DERIVAR DO POSTE PG E815835.</t>
  </si>
  <si>
    <t>2025-162646</t>
  </si>
  <si>
    <t>2025-163153</t>
  </si>
  <si>
    <t>1045665</t>
  </si>
  <si>
    <t>E932091 AO E932136
E852119 E E852120</t>
  </si>
  <si>
    <t>2026-1-112949</t>
  </si>
  <si>
    <t>E815830</t>
  </si>
  <si>
    <t>-11,405470</t>
  </si>
  <si>
    <t>-40,631321</t>
  </si>
  <si>
    <t>E29348</t>
  </si>
  <si>
    <t>INTERCALAR POSTE AT COM N4-3 PRÓBIMO AO PG: E815830,  FECHAR CHAVE NOVA PRÓBIMO AO PG: E815830 E ENERGIZAR OBRA.</t>
  </si>
  <si>
    <t>Trafo 10kva, alca de cabo 4, cabo pot</t>
  </si>
  <si>
    <t>B-1073507</t>
  </si>
  <si>
    <t>B-1239831</t>
  </si>
  <si>
    <t>B-1240091</t>
  </si>
  <si>
    <t>ER-CIND-POV ASSA PEIXE-RURAL ITAPURA</t>
  </si>
  <si>
    <t>VISITA EMERSON</t>
  </si>
  <si>
    <t>2025-162648</t>
  </si>
  <si>
    <t>2025-163156</t>
  </si>
  <si>
    <t>1045666</t>
  </si>
  <si>
    <t>E932154 AO E932161</t>
  </si>
  <si>
    <t>2026-1-60897</t>
  </si>
  <si>
    <t>R029383</t>
  </si>
  <si>
    <t>-11,48405237</t>
  </si>
  <si>
    <t>-40,57717265</t>
  </si>
  <si>
    <t>N55076</t>
  </si>
  <si>
    <t>INTERCALAR POSTE AT COM N1 ENTRE OS PG: R029382 - R029383, ENCABEÇAR RD BT NO PG: R029383 E ENERGIZAR OBRA.</t>
  </si>
  <si>
    <t>B-1116278</t>
  </si>
  <si>
    <t>ER-CIND-POV-QUEIMADA NOVA-RURAL</t>
  </si>
  <si>
    <t>VISITA CLÉBSON</t>
  </si>
  <si>
    <t>2025-162649</t>
  </si>
  <si>
    <t>2026-12671</t>
  </si>
  <si>
    <t>2025-162607</t>
  </si>
  <si>
    <t>1045667</t>
  </si>
  <si>
    <t>E932168 AO E932174</t>
  </si>
  <si>
    <t>2026-1-105176</t>
  </si>
  <si>
    <t>R034886</t>
  </si>
  <si>
    <t>-11,384502</t>
  </si>
  <si>
    <t>-40,636313</t>
  </si>
  <si>
    <t>J08658</t>
  </si>
  <si>
    <t>INTERCALAR POSTE AT COM N1 E TRAFO ENTRE OS PG: R034870 - R034886, FECHAR CHAVE NOVA PRÓBIMO AO PG: R034870  E ENERGIZAR OBRA.</t>
  </si>
  <si>
    <t>Trafo 30kva</t>
  </si>
  <si>
    <t>B-1128488</t>
  </si>
  <si>
    <t>B-1239943</t>
  </si>
  <si>
    <t>B-1240190</t>
  </si>
  <si>
    <t>ER-CIND-POV-FAISCA 45-FAISCA</t>
  </si>
  <si>
    <t>VISITA CARLOS</t>
  </si>
  <si>
    <t>2025-162651</t>
  </si>
  <si>
    <t>2025-163161</t>
  </si>
  <si>
    <t>E836189 AO E836193</t>
  </si>
  <si>
    <t>2026-1-88076</t>
  </si>
  <si>
    <t>D002682</t>
  </si>
  <si>
    <t>-11,520042</t>
  </si>
  <si>
    <t>-40,620584</t>
  </si>
  <si>
    <t>MCM-01J4 2#4</t>
  </si>
  <si>
    <t>J19040</t>
  </si>
  <si>
    <t>INTERCALAR POSTE AT COM N1 E TRAFO ENTRE OS PG: D002682 - D002681, FECHAR CHAVE NOVA PRÓBIMO AO PG: D002682  E ENERGIZAR OBRA.</t>
  </si>
  <si>
    <t>Trafo 10kva (01 CDA)</t>
  </si>
  <si>
    <t>B-1135561</t>
  </si>
  <si>
    <t>ER-CIND-POV-TAMANCO-RURAL</t>
  </si>
  <si>
    <t>OBRA JÁ EXECUTADA</t>
  </si>
  <si>
    <t>J08712</t>
  </si>
  <si>
    <t>ABRIR CHAVE DO TRAFO: J08712 P/ INTERCALAR POSTE BT EM RD CONVENCIONAL NUA  ENTRE OS PG: R037021 - R037018, E ENERGIZAR OBRA.</t>
  </si>
  <si>
    <t>B-1170966</t>
  </si>
  <si>
    <t>ER-CIND-POV-ASSA PEIXE-RURAL</t>
  </si>
  <si>
    <t>2025-163118</t>
  </si>
  <si>
    <t>E851878 AO E851880</t>
  </si>
  <si>
    <t>2026-1-57420</t>
  </si>
  <si>
    <t>R031181</t>
  </si>
  <si>
    <t>-11,4868569</t>
  </si>
  <si>
    <t xml:space="preserve"> -40,5719852</t>
  </si>
  <si>
    <t>J04525</t>
  </si>
  <si>
    <t>ENCABEÇAR RD BT NO PG: R031181 E ENERGIZAR OBRA.</t>
  </si>
  <si>
    <t>B-1172567</t>
  </si>
  <si>
    <t>B-1239999</t>
  </si>
  <si>
    <t>B-1240266</t>
  </si>
  <si>
    <t>ER-CIND-POV-MOCO-FAISCA</t>
  </si>
  <si>
    <t>VISITA CARLOS - REGULARIZAR MEDIDOR AO TEMPO</t>
  </si>
  <si>
    <t>2025-163119</t>
  </si>
  <si>
    <t>E836197 AO E836198</t>
  </si>
  <si>
    <t>2026-1-56953</t>
  </si>
  <si>
    <t>D002725</t>
  </si>
  <si>
    <t xml:space="preserve">  -11,534454</t>
  </si>
  <si>
    <t>-40,616547</t>
  </si>
  <si>
    <t>J19043</t>
  </si>
  <si>
    <t>ENCABEÇAR RD BT NO PG: D002725 E ENERGIZAR OBRA.</t>
  </si>
  <si>
    <t>OBRA IRÁ PARA REVISÃO DE PROJETO (02/01/26)
PROPRIETÁRIO NÃO AUTORIZOU PASSAGEM DA REDE POR SUA PROPRIEDADE (INVENTÁRIO DE HERANÇA)</t>
  </si>
  <si>
    <t>FVP - 18/12/25</t>
  </si>
  <si>
    <t>REUTILIZADO</t>
  </si>
  <si>
    <t>-11,463137</t>
  </si>
  <si>
    <t>B-1226602</t>
  </si>
  <si>
    <t>ER-CIND-FAZ-BAIXAO-URUBU</t>
  </si>
  <si>
    <t>2025-162653</t>
  </si>
  <si>
    <t>E851881 AO E851884</t>
  </si>
  <si>
    <t>2026-1-112439</t>
  </si>
  <si>
    <t>E274207</t>
  </si>
  <si>
    <t>-11,46082675</t>
  </si>
  <si>
    <t xml:space="preserve">-40,76409563 </t>
  </si>
  <si>
    <t>MCM-01J3 2#4</t>
  </si>
  <si>
    <t>J08313</t>
  </si>
  <si>
    <t>ALTERAR ESTRUTURA DE N3-3 NO PG: E274207, FECHAR CHAVE NOVA PRÓBIMO AO PG: E274207 E ENERGIZAR OBRA.</t>
  </si>
  <si>
    <t>Trafo e para raio</t>
  </si>
  <si>
    <t>B-1230056</t>
  </si>
  <si>
    <t>ER-CIND-FAZ-BAIXA DO TANQUE-RURAL</t>
  </si>
  <si>
    <t>RODRIGO</t>
  </si>
  <si>
    <t>2026-1088</t>
  </si>
  <si>
    <t>E851885</t>
  </si>
  <si>
    <t>2026-1-24932</t>
  </si>
  <si>
    <t>E496207</t>
  </si>
  <si>
    <t xml:space="preserve">-11,434077    </t>
  </si>
  <si>
    <t>-40,618728</t>
  </si>
  <si>
    <t>MCM-01J1</t>
  </si>
  <si>
    <t>N18741</t>
  </si>
  <si>
    <t>ENCABEÇAR RD BT NO PG: E496207 E ENERGIZAR OBRA.</t>
  </si>
  <si>
    <t>B-1230363</t>
  </si>
  <si>
    <t>AC-CIND-POV-OLHOS D AGUA DE CIMA-RURAL</t>
  </si>
  <si>
    <t>2026-2586</t>
  </si>
  <si>
    <t>2026-1-39105</t>
  </si>
  <si>
    <t>R037422</t>
  </si>
  <si>
    <t>-11,295607</t>
  </si>
  <si>
    <t>-40,593445</t>
  </si>
  <si>
    <t xml:space="preserve">J13724 </t>
  </si>
  <si>
    <t>ABRIR CHAVE DO TRAFO: J13724 PARA RECONDUTORAMENTO BT DO PG: R037422 AO D026733, SUBSTITUIR POSTE: D026733 E ENERGIZAR OBRA.</t>
  </si>
  <si>
    <t>B-1231021</t>
  </si>
  <si>
    <t>ER-CIND-POV-AGUA BRANCA-RURAL MIGUEL CAL</t>
  </si>
  <si>
    <t>2025-163133</t>
  </si>
  <si>
    <t>E852085 AO E852086</t>
  </si>
  <si>
    <t>2026-1-24396</t>
  </si>
  <si>
    <t>E664647</t>
  </si>
  <si>
    <t>-11,388458</t>
  </si>
  <si>
    <t xml:space="preserve"> -40,592139</t>
  </si>
  <si>
    <t>J08636</t>
  </si>
  <si>
    <t>ENCABEÇAR RD BT NO PG: E664647 E ENERGIZAR OBRA.</t>
  </si>
  <si>
    <t>B-1234977</t>
  </si>
  <si>
    <t>ER-CIND-POV-MAXIXE 550-RURAL</t>
  </si>
  <si>
    <t>VISITA GERALDO</t>
  </si>
  <si>
    <t>2025-163920</t>
  </si>
  <si>
    <t>2025-163163</t>
  </si>
  <si>
    <t>E852087 AO E852089</t>
  </si>
  <si>
    <t>2026-1-56280</t>
  </si>
  <si>
    <t>E039874</t>
  </si>
  <si>
    <t>-11,505348</t>
  </si>
  <si>
    <t xml:space="preserve"> -40,707382</t>
  </si>
  <si>
    <t>V05127</t>
  </si>
  <si>
    <t>INTERCALAR 02 POSTES AT COM N1 ENTRE OS PG: E039874 - E039872, ENCABEÇAR RD BT NO PG: E039874 E ENERGIZAR OBRA.</t>
  </si>
  <si>
    <t>B-1228875</t>
  </si>
  <si>
    <t>ER-SEIN-FAZ-LIBERDADE-AGUA BRANCA</t>
  </si>
  <si>
    <t>EXECUTAR CONFORME PROJETO</t>
  </si>
  <si>
    <t>2025-148009</t>
  </si>
  <si>
    <t>2026-791</t>
  </si>
  <si>
    <t>1043435</t>
  </si>
  <si>
    <t>E918412 AO E918417
E843621</t>
  </si>
  <si>
    <t>2026-1-31504</t>
  </si>
  <si>
    <t xml:space="preserve">R039027 </t>
  </si>
  <si>
    <t>-11,334806</t>
  </si>
  <si>
    <t xml:space="preserve"> -40,638019</t>
  </si>
  <si>
    <t>J08691</t>
  </si>
  <si>
    <t>R039027</t>
  </si>
  <si>
    <t>INTERCALAR POSTE AT COM N1-3 ENTRE OS PG: R039027 - R039026, FECHAR CHAVE NOVA PRÓBIMO AO PG: R039027  E ENERGIZAR OBRA.</t>
  </si>
  <si>
    <t>B-1062246</t>
  </si>
  <si>
    <t>MP CIND FAZ NOSSA SENHORA DO AMPARO</t>
  </si>
  <si>
    <t xml:space="preserve">EXECUTAR OBRA CONFORME PROJETO </t>
  </si>
  <si>
    <t>2025-162657</t>
  </si>
  <si>
    <t>1045713</t>
  </si>
  <si>
    <t>E933006 AO E933016</t>
  </si>
  <si>
    <t>2026-1-81678</t>
  </si>
  <si>
    <t>D217323</t>
  </si>
  <si>
    <t xml:space="preserve"> -11,563462 </t>
  </si>
  <si>
    <t xml:space="preserve">  -40,436422</t>
  </si>
  <si>
    <t>H80970</t>
  </si>
  <si>
    <t>SUBSTITUIR POSTE AT 11/400 POR 11/600 NO PG: D217319 E ENERGIZAR OBRA.</t>
  </si>
  <si>
    <t>B-1230765</t>
  </si>
  <si>
    <t>ER-CIND-POV-SALGADINHO-RURAL</t>
  </si>
  <si>
    <t>VISITADA PELO ENCARREGADO. APTA. ALTERAR N1-3 PARA B1-N3 CFR DA DV.</t>
  </si>
  <si>
    <t>2025-152045</t>
  </si>
  <si>
    <t>2026-807</t>
  </si>
  <si>
    <t>1043412</t>
  </si>
  <si>
    <t>E918426 AO E918436</t>
  </si>
  <si>
    <t>2026-1-36140</t>
  </si>
  <si>
    <t xml:space="preserve">B865579 </t>
  </si>
  <si>
    <t xml:space="preserve">-11,511711 </t>
  </si>
  <si>
    <t xml:space="preserve"> -40,648622</t>
  </si>
  <si>
    <t>G35265</t>
  </si>
  <si>
    <t>B865579</t>
  </si>
  <si>
    <t>INTERCALAR POSTE AT COM B1-3 ENTRE OS PG: B865579 - B865578, FECHAR CHAVE NOVA PRÓBIMO AO PG: B865579  E ENERGIZAR OBRA.</t>
  </si>
  <si>
    <t>OBRA JÁ EXECUTADA ATRAVÉS DO PROJETO Y-0982612 - MP - CCOL - POV. LAGOA GRANDE - RURAL - MIGUEL CALMON</t>
  </si>
  <si>
    <t>1045715</t>
  </si>
  <si>
    <t>E933027 AO E933035</t>
  </si>
  <si>
    <t>R032578</t>
  </si>
  <si>
    <t>-11,543492</t>
  </si>
  <si>
    <t>-40,649770</t>
  </si>
  <si>
    <t>J03832</t>
  </si>
  <si>
    <t>MONTAR BANCADA COM N3 NO PG: R032578, FECHAR CHAVE NOVA PRÓBIMO AO PG: R032578 E ENERGIZAR OBRA.</t>
  </si>
  <si>
    <t>B-1087901</t>
  </si>
  <si>
    <t>LD-CIND-FAZ CASA NOVA-RURAL-MGC</t>
  </si>
  <si>
    <t>2025-147993</t>
  </si>
  <si>
    <t>2026-783</t>
  </si>
  <si>
    <t>1043423</t>
  </si>
  <si>
    <t>E918346 AO E918355</t>
  </si>
  <si>
    <t>2026-1-33987</t>
  </si>
  <si>
    <t>B992459</t>
  </si>
  <si>
    <t>-11,526304</t>
  </si>
  <si>
    <t>-40,681141</t>
  </si>
  <si>
    <t>V02869</t>
  </si>
  <si>
    <t>MONTAR BANCADA COM N3 NO PG: B992459, FECHAR CHAVE NOVA PRÓBIMO AO PG: B992459 E ENERGIZAR OBRA.</t>
  </si>
  <si>
    <t>B-1090007</t>
  </si>
  <si>
    <t>MP CIND FAZ NOSSA SENHORA DO A ITAPURA</t>
  </si>
  <si>
    <t>DAIANE ALMEIDA DO NASCIMENTO - U345247</t>
  </si>
  <si>
    <t>2025-155152</t>
  </si>
  <si>
    <t>2026-785</t>
  </si>
  <si>
    <t>1043428</t>
  </si>
  <si>
    <t>E918367 AO E918380</t>
  </si>
  <si>
    <t>2026-1-34489</t>
  </si>
  <si>
    <t>R035802</t>
  </si>
  <si>
    <t>-11,545772</t>
  </si>
  <si>
    <t xml:space="preserve"> -40,449900</t>
  </si>
  <si>
    <t>W51266</t>
  </si>
  <si>
    <t>INTERCALAR POSTE AT COM N1-3 ENTRE OS  PG: R035801 R035802, FECHAR CHAVE NOVA PRÓBIMO AO PG: R035802 E ENERGIZAR OBRA.</t>
  </si>
  <si>
    <t>B-1088474</t>
  </si>
  <si>
    <t>ER-CIND-POV-ALMAS-ITAPURA</t>
  </si>
  <si>
    <t>SERÁ VISITADA PELO ENCARREGADO.</t>
  </si>
  <si>
    <t>2025-148000</t>
  </si>
  <si>
    <t>2026-787</t>
  </si>
  <si>
    <t>1043431</t>
  </si>
  <si>
    <t>E918400 AO E918411</t>
  </si>
  <si>
    <t>2026-1-29686</t>
  </si>
  <si>
    <t xml:space="preserve">R029057 </t>
  </si>
  <si>
    <t>-11,506333</t>
  </si>
  <si>
    <t>-40,565642</t>
  </si>
  <si>
    <t>R029057</t>
  </si>
  <si>
    <t>INTERCALAR POSTE AT COM N1-3 ENTRE OS PG: R029057 - R029058, FECHAR CHAVE NOVA PRÓBIMO AO PG: R029057  E ENERGIZAR OBRA.</t>
  </si>
  <si>
    <t>B-1229062</t>
  </si>
  <si>
    <t>ER-CIND-POV-URUBU-RURAL-URUBU</t>
  </si>
  <si>
    <t>2025-148010</t>
  </si>
  <si>
    <t>2026-806</t>
  </si>
  <si>
    <t>1043437</t>
  </si>
  <si>
    <t>E918418 AO E918424</t>
  </si>
  <si>
    <t>2026-1-35065</t>
  </si>
  <si>
    <t xml:space="preserve">E835332 </t>
  </si>
  <si>
    <t>-11,382943</t>
  </si>
  <si>
    <t>-40,696169</t>
  </si>
  <si>
    <t>E30631</t>
  </si>
  <si>
    <t>E835332</t>
  </si>
  <si>
    <t>INTERCALAR POSTE AT COM N1 E TRAFO ENTRE OS PG: E835332 - E835331, FECHAR CHAVE NOVA PRÓBIMO AO PG: E835331 E ENERGIZAR OBRA.</t>
  </si>
  <si>
    <t>B-1180371</t>
  </si>
  <si>
    <t>B-1195482</t>
  </si>
  <si>
    <t>B-1195523</t>
  </si>
  <si>
    <t>ER-CIND-FAZ LAGOA DO MILHO-L DO MILHO</t>
  </si>
  <si>
    <t>19/12/25 -RE 07/01/26</t>
  </si>
  <si>
    <t>2025-162958</t>
  </si>
  <si>
    <t>E852095 AO E852098</t>
  </si>
  <si>
    <t>2026-1-91935</t>
  </si>
  <si>
    <t>D167782</t>
  </si>
  <si>
    <t xml:space="preserve">  -11,691714</t>
  </si>
  <si>
    <t>-40,375,323</t>
  </si>
  <si>
    <t>H74112</t>
  </si>
  <si>
    <t>ENCABEÇAR RD BT NO PG: D167782 E ENERGIZAR OBRA.</t>
  </si>
  <si>
    <t>Laço de 25mm, conector atr 90, conector cunha</t>
  </si>
  <si>
    <t>B-1182806</t>
  </si>
  <si>
    <t>B-1195483</t>
  </si>
  <si>
    <t>B-1195524</t>
  </si>
  <si>
    <t>ER-CIND-RUA-DA UMBURANAS-RURAL</t>
  </si>
  <si>
    <t>19/12/25- RE 07/01/26</t>
  </si>
  <si>
    <t>2025-162969</t>
  </si>
  <si>
    <t>E852099 AO E852100</t>
  </si>
  <si>
    <t>2026-1-85769</t>
  </si>
  <si>
    <t>D006389</t>
  </si>
  <si>
    <t xml:space="preserve">   -11,671866</t>
  </si>
  <si>
    <t xml:space="preserve"> -40,370860</t>
  </si>
  <si>
    <t>T20750</t>
  </si>
  <si>
    <t>ENCABEÇAR RD BT NO PG: D006389 E ENERGIZAR OBRA.</t>
  </si>
  <si>
    <t>B-1184409</t>
  </si>
  <si>
    <t>B-1237727</t>
  </si>
  <si>
    <t>B-1237951</t>
  </si>
  <si>
    <t>ER-CIND-RUA APOLONIO-CENTRO-JATOBA</t>
  </si>
  <si>
    <t>PINDOBAÇU</t>
  </si>
  <si>
    <t>ANDERSON ROBERTO DA SILVA CASTRO - U471407</t>
  </si>
  <si>
    <t>2025-148043</t>
  </si>
  <si>
    <t>2026-5105</t>
  </si>
  <si>
    <t>E919320 AO E919325
E810384</t>
  </si>
  <si>
    <t>2026-1-53761</t>
  </si>
  <si>
    <t>Q063898</t>
  </si>
  <si>
    <t xml:space="preserve"> -10,739512</t>
  </si>
  <si>
    <t xml:space="preserve"> -40,470266</t>
  </si>
  <si>
    <t>PDN-01P1</t>
  </si>
  <si>
    <t>J06557</t>
  </si>
  <si>
    <t>INTERCALAR POSTE AT COM N1-3 ENTRE OS PG: Q063898 - E476199, FECHAR CHAVE NOVA PRÓBIMO AO PG: Q063898  E ENERGIZAR OBRA.</t>
  </si>
  <si>
    <t>B-1199564</t>
  </si>
  <si>
    <t>B-1234114</t>
  </si>
  <si>
    <t>B-1234119</t>
  </si>
  <si>
    <t>ER-CIND-RUA-DO CAJUEIRO-CENTRO</t>
  </si>
  <si>
    <t xml:space="preserve">OBRA VISITADA PELO AR </t>
  </si>
  <si>
    <t>2026-907</t>
  </si>
  <si>
    <t>E843639 AO E843640</t>
  </si>
  <si>
    <t>2026-1-31059</t>
  </si>
  <si>
    <t>Q063861</t>
  </si>
  <si>
    <t xml:space="preserve">-10,723835 </t>
  </si>
  <si>
    <t xml:space="preserve"> -40,458297</t>
  </si>
  <si>
    <t>J06995</t>
  </si>
  <si>
    <t>ENCABEÇAR RD BT NO PG: Q063861 E ENERGIZAR OBRA.</t>
  </si>
  <si>
    <t>B-1229255</t>
  </si>
  <si>
    <t>B-1244736</t>
  </si>
  <si>
    <t>B-1244978</t>
  </si>
  <si>
    <t>ER-CIND-FAZ-VEREDA BONITA 159-RURAL</t>
  </si>
  <si>
    <t>2025-162972</t>
  </si>
  <si>
    <t>2026-1-90099</t>
  </si>
  <si>
    <t>B418525</t>
  </si>
  <si>
    <t>-11,82978</t>
  </si>
  <si>
    <t xml:space="preserve">    -40,48045</t>
  </si>
  <si>
    <t>G20453</t>
  </si>
  <si>
    <t>ENCABEÇAR RD BT NO PG: B418527 E ENERGIZAR OBRA.</t>
  </si>
  <si>
    <t>B-1229753</t>
  </si>
  <si>
    <t>ER-CIND-RUA-OLIMPIA-UMBUZEIRO</t>
  </si>
  <si>
    <t>19/12/25 -  RE 07/01/26</t>
  </si>
  <si>
    <t>2025-163000</t>
  </si>
  <si>
    <t>2026-1-87407</t>
  </si>
  <si>
    <t>E233110</t>
  </si>
  <si>
    <t xml:space="preserve">-11,674096 </t>
  </si>
  <si>
    <t xml:space="preserve">  -40,375720</t>
  </si>
  <si>
    <t>T21030</t>
  </si>
  <si>
    <t>INTERCALAR POSTE BT ENTRE OS PG: E233111  - E233110, ENCABEÇAR RD BT NO PG: E233111 E ENERGIZAR OBRA.</t>
  </si>
  <si>
    <t>B-1234158</t>
  </si>
  <si>
    <t>B-1245698</t>
  </si>
  <si>
    <t>B-1245705</t>
  </si>
  <si>
    <t>ER-CIND-FAZ-LAGOA DO MILHO-RURAL</t>
  </si>
  <si>
    <t>JUDICIAL</t>
  </si>
  <si>
    <t>2025-163007</t>
  </si>
  <si>
    <t>1045675</t>
  </si>
  <si>
    <t>E932257 AO E932263</t>
  </si>
  <si>
    <t>2026-1-67667</t>
  </si>
  <si>
    <t>D167768</t>
  </si>
  <si>
    <t xml:space="preserve"> -11,685721  </t>
  </si>
  <si>
    <t xml:space="preserve"> -40,397273</t>
  </si>
  <si>
    <t>H74222</t>
  </si>
  <si>
    <t>ENCABEÇAR RD BT NO PG: D167768 E ENERGIZAR OBRA.</t>
  </si>
  <si>
    <t>B-1234204</t>
  </si>
  <si>
    <t>ER-CIND-FAZ-ROCHEDINHO-RURAL-IBIAPORA</t>
  </si>
  <si>
    <t>2025-162658</t>
  </si>
  <si>
    <t>1045676</t>
  </si>
  <si>
    <t>E932275 AO E932315</t>
  </si>
  <si>
    <t>2026-1-101448</t>
  </si>
  <si>
    <t>D188998</t>
  </si>
  <si>
    <t xml:space="preserve">-12,070492 </t>
  </si>
  <si>
    <t>-40,774128</t>
  </si>
  <si>
    <t>H73670</t>
  </si>
  <si>
    <t>INTERCALAR POSTE AT COM N1-3 ENTRE OS PG: D188998 - D188999, FECHAR CHAVE NOVA PRÓBIMO AO PG: D188998 E ENERGIZAR OBRA.</t>
  </si>
  <si>
    <t>Para raio, programar LV</t>
  </si>
  <si>
    <t>RETIRADA POR FALTA DE ALÇA CABO 4CAA - 07/01/26</t>
  </si>
  <si>
    <t>2025-162772</t>
  </si>
  <si>
    <t>2025-163226</t>
  </si>
  <si>
    <t>1045716</t>
  </si>
  <si>
    <t>?</t>
  </si>
  <si>
    <t>B-1180206</t>
  </si>
  <si>
    <t>B-1237721</t>
  </si>
  <si>
    <t>B-1237939</t>
  </si>
  <si>
    <t>ER-CIND-RUA-DA LUTANDA-LUTANDA</t>
  </si>
  <si>
    <t>2025-154964</t>
  </si>
  <si>
    <t>2026-811</t>
  </si>
  <si>
    <t>E835990 AO E835993</t>
  </si>
  <si>
    <t>2026-1-33780</t>
  </si>
  <si>
    <t>D057604</t>
  </si>
  <si>
    <t>-10,662670</t>
  </si>
  <si>
    <t>-40,334009</t>
  </si>
  <si>
    <t>SAU-01L1</t>
  </si>
  <si>
    <t>J55124</t>
  </si>
  <si>
    <t>ALTERAR ESTRUTURA DE M3 P/ B4 NO PG: D057604, FECHAR CHAVE NOVA PRÓBIMO AO PG: D057604 E ENERGIZAR OBRA.</t>
  </si>
  <si>
    <t>B-1167385</t>
  </si>
  <si>
    <t>B-1195480</t>
  </si>
  <si>
    <t>B-1195521</t>
  </si>
  <si>
    <t>ER CIND RUA DO CALDEIRAO  RURAL</t>
  </si>
  <si>
    <t>2025-162608</t>
  </si>
  <si>
    <t>E852121 AO E852122</t>
  </si>
  <si>
    <t>2026-1-65615</t>
  </si>
  <si>
    <t>L381071</t>
  </si>
  <si>
    <t>-11,735459</t>
  </si>
  <si>
    <t xml:space="preserve"> -40,587424</t>
  </si>
  <si>
    <t>T16202</t>
  </si>
  <si>
    <t xml:space="preserve">ABRIR CHAVE TRAFO: T16202 PARA SUBSTITUIR POSTE BT NO PG: L381071, ENCABEÇAR RD BT NO MESMO E ENERGIZAR OBRA. </t>
  </si>
  <si>
    <t>B-1095277</t>
  </si>
  <si>
    <t>B-1095287</t>
  </si>
  <si>
    <t>B-1095288</t>
  </si>
  <si>
    <t>LD CIND PO CIGANA RURAL PRB</t>
  </si>
  <si>
    <t>2025-162660</t>
  </si>
  <si>
    <t>2025-163168</t>
  </si>
  <si>
    <t>E852123 AO E852125</t>
  </si>
  <si>
    <t>2026-1-81515</t>
  </si>
  <si>
    <t>L431049</t>
  </si>
  <si>
    <t>-11,626658</t>
  </si>
  <si>
    <t>-40,400121</t>
  </si>
  <si>
    <t>MUN-01N1 3#4</t>
  </si>
  <si>
    <t>T14407</t>
  </si>
  <si>
    <t>INTERCALAR POSTE AT COM N4-3 ENTRE OS PG: L431050 - L431049, FECHAR CHAVE NOVA PRÓBIMO AO PG: L431049 E ENERGIZAR OBRA.</t>
  </si>
  <si>
    <t>B-1229276</t>
  </si>
  <si>
    <t>VISITA DOUGLAS</t>
  </si>
  <si>
    <t>2026-1614</t>
  </si>
  <si>
    <t>2025-162591</t>
  </si>
  <si>
    <t>E852130 AO E852133</t>
  </si>
  <si>
    <t>2026-1-30629</t>
  </si>
  <si>
    <t>R214260</t>
  </si>
  <si>
    <t xml:space="preserve">-11,748899 </t>
  </si>
  <si>
    <t>-40,715592</t>
  </si>
  <si>
    <t>INTERCALAR POSTE BT ENTRE OS PG: B913924 - R214260 E ENERGIZAR OBRA.</t>
  </si>
  <si>
    <t>B-1231421</t>
  </si>
  <si>
    <t>ER-CIND-POV-ASSENT PANORAMA-PANORAMA</t>
  </si>
  <si>
    <t>2025-162664</t>
  </si>
  <si>
    <t>2025-163172</t>
  </si>
  <si>
    <t>E852134 AO E852137</t>
  </si>
  <si>
    <t>2026-1-82769</t>
  </si>
  <si>
    <t>D022488</t>
  </si>
  <si>
    <t xml:space="preserve"> -11,772938</t>
  </si>
  <si>
    <t>-40,653779</t>
  </si>
  <si>
    <t>MUN-01N1 2#4</t>
  </si>
  <si>
    <t>J51755</t>
  </si>
  <si>
    <t>INTERCALAR POSTE AT COM N1 E TRAFO ENTRE OS PG: D022488 - D022240, FECHAR CHAVE NOVA PRÓBIMO AO PG: D022488 E ENERGIZAR OBRA.</t>
  </si>
  <si>
    <t>B-1231441</t>
  </si>
  <si>
    <t>ER-CIND-FAZ-VARZEA DA PEDRA-RURAL</t>
  </si>
  <si>
    <t>VISITA CLEBSON</t>
  </si>
  <si>
    <t>2025-163135</t>
  </si>
  <si>
    <t>E852138 AO E852140</t>
  </si>
  <si>
    <t>2026-1-56681</t>
  </si>
  <si>
    <t>D063262</t>
  </si>
  <si>
    <t>-11,709345</t>
  </si>
  <si>
    <t xml:space="preserve"> -40,566268</t>
  </si>
  <si>
    <t>J54751</t>
  </si>
  <si>
    <t>INTERCALAR POSTE BT ENTRE OS PG: D033262 - D063264 E ENERGIZAR OBRA.</t>
  </si>
  <si>
    <t>B-1234733</t>
  </si>
  <si>
    <t>ER-CIND-FAZ-SITIO 641-RURAL</t>
  </si>
  <si>
    <t>VISITA RODRIGO</t>
  </si>
  <si>
    <t>2025-163136</t>
  </si>
  <si>
    <t>1045678</t>
  </si>
  <si>
    <t>E932333 AO E932339</t>
  </si>
  <si>
    <t>2026-1-53625</t>
  </si>
  <si>
    <t>D276750</t>
  </si>
  <si>
    <t xml:space="preserve"> -11,717082 </t>
  </si>
  <si>
    <t xml:space="preserve"> -40,548143</t>
  </si>
  <si>
    <t>H76123</t>
  </si>
  <si>
    <t>ENCABEÇAR RD BT NO PG: D276750 E ENERGIZAR OBRA.</t>
  </si>
  <si>
    <t>B-1235651</t>
  </si>
  <si>
    <t>ER-CIND-FAZ-SITIO 268-AREIA BRANCA</t>
  </si>
  <si>
    <t>2025-162666</t>
  </si>
  <si>
    <t>2025-163182</t>
  </si>
  <si>
    <t>E852126 AO E852129</t>
  </si>
  <si>
    <t>2026-1-86365</t>
  </si>
  <si>
    <t>D517524</t>
  </si>
  <si>
    <t>-11,705485</t>
  </si>
  <si>
    <t xml:space="preserve">   -40,520696  </t>
  </si>
  <si>
    <t>W84149</t>
  </si>
  <si>
    <t>INTERCALAR POSTE AT COM N1 E TRAFO ENTRE OS PG: D517524 - D517523, FECHAR CHAVE NOVA PRÓBIMO AO PG: D517524  E ENERGIZAR OBRA.</t>
  </si>
  <si>
    <t>Trafo 10kva</t>
  </si>
  <si>
    <t>B-1064255</t>
  </si>
  <si>
    <t>MP CIND FAZ ÁGUA BRANCA RURAL</t>
  </si>
  <si>
    <t xml:space="preserve">EXECUTAR OBRA CONFORME PROJETO /01 POSTEAT ADICIONAL </t>
  </si>
  <si>
    <t>2025-162674</t>
  </si>
  <si>
    <t>2025-162719</t>
  </si>
  <si>
    <t>2025-162741</t>
  </si>
  <si>
    <t>1045814</t>
  </si>
  <si>
    <t>E933276 AO E933289</t>
  </si>
  <si>
    <t>2026-1-89695</t>
  </si>
  <si>
    <t>L431613</t>
  </si>
  <si>
    <t>-11,675794</t>
  </si>
  <si>
    <t>-40,484063</t>
  </si>
  <si>
    <t>D039264</t>
  </si>
  <si>
    <t xml:space="preserve">SUBSTITUIR POSTE AT 11/400 POR 11/1000 C/ B4 N3 NO PG: L431613 E ENERGIZAR OBRA. </t>
  </si>
  <si>
    <t>2025-163184</t>
  </si>
  <si>
    <t>B-1053234</t>
  </si>
  <si>
    <t>MP-CIND-FAZ-ALTAMIRA-RURAL</t>
  </si>
  <si>
    <t>CLIENTE NÃO VALIDADO LPT.</t>
  </si>
  <si>
    <t>2025-154961</t>
  </si>
  <si>
    <t>2026-2851</t>
  </si>
  <si>
    <t>2026-852</t>
  </si>
  <si>
    <t>1043441</t>
  </si>
  <si>
    <t>E918452 AO E918466</t>
  </si>
  <si>
    <t>2026-1-44554</t>
  </si>
  <si>
    <t>D149460</t>
  </si>
  <si>
    <t xml:space="preserve">-11,598655 </t>
  </si>
  <si>
    <t xml:space="preserve"> -40,615035</t>
  </si>
  <si>
    <t>H66952</t>
  </si>
  <si>
    <t>ALTERAR ESTRUTURA DE N3 P/ N4 NO PG: D149460, FECHAR CHAVE NOVA PRÓBIMO AO PG: D149460 E ENERGIZAR OBRA.</t>
  </si>
  <si>
    <t>B-1070658</t>
  </si>
  <si>
    <t>B-1070659</t>
  </si>
  <si>
    <t>B-1070661</t>
  </si>
  <si>
    <t>MP CIND POV DE CHAPADA PORTO FELIZ RURAL</t>
  </si>
  <si>
    <t>JULIO SERAFIM DAMACENO DOS SANTOS - MRA738523</t>
  </si>
  <si>
    <t xml:space="preserve">PROJETADO REVISADO </t>
  </si>
  <si>
    <t>2025-158083</t>
  </si>
  <si>
    <t>2026-856</t>
  </si>
  <si>
    <t>2025-156069</t>
  </si>
  <si>
    <t>1043442</t>
  </si>
  <si>
    <t>E918467 AO E918485 
E852155</t>
  </si>
  <si>
    <t>2026-1-28842</t>
  </si>
  <si>
    <t>R214271</t>
  </si>
  <si>
    <t>-11,715452</t>
  </si>
  <si>
    <t xml:space="preserve">	-40,692061</t>
  </si>
  <si>
    <t>J18350</t>
  </si>
  <si>
    <t>J18357</t>
  </si>
  <si>
    <t>26</t>
  </si>
  <si>
    <t>2</t>
  </si>
  <si>
    <t>POVOADO DE CHAPADA, AL SAMPAIO</t>
  </si>
  <si>
    <t>ALTERAR ESTRUTURA DE N3 P/ N4 NO PG: R214271, FECHAR CHAVE NOVA PRÓBIMO AO PG: R214271 E ENERGIZAR OBRA.</t>
  </si>
  <si>
    <t>B-1041001</t>
  </si>
  <si>
    <t>MP-CIND-ROD-EST FEIJ O-PORTO FELIZ RURAL</t>
  </si>
  <si>
    <t>2025-148023</t>
  </si>
  <si>
    <t>2025-148090</t>
  </si>
  <si>
    <t>2026-1155</t>
  </si>
  <si>
    <t>1043443</t>
  </si>
  <si>
    <t>E918486 AO E918500</t>
  </si>
  <si>
    <t>2026-1-24641</t>
  </si>
  <si>
    <t>D219943</t>
  </si>
  <si>
    <t xml:space="preserve"> -11,757734</t>
  </si>
  <si>
    <t>-40,706350</t>
  </si>
  <si>
    <t>J18343</t>
  </si>
  <si>
    <t>ALTERAR ESTRUTURA DE B3 P/ B4 NO PG: D219943, FECHAR CHAVE NOVA PRÓBIMO AO PG: D219943 E ENERGIZAR OBRA.</t>
  </si>
  <si>
    <t>B-1057882</t>
  </si>
  <si>
    <t>MP-CIND-FAZ. LAGOA DO BOI-ANDARAÍ-RURAL</t>
  </si>
  <si>
    <t>2025-148024</t>
  </si>
  <si>
    <t>2025-148096</t>
  </si>
  <si>
    <t>2026-872</t>
  </si>
  <si>
    <t>1043449</t>
  </si>
  <si>
    <t>E918501 AO E918514</t>
  </si>
  <si>
    <t>2026-1-28746</t>
  </si>
  <si>
    <t>D304965</t>
  </si>
  <si>
    <t>-11,696952</t>
  </si>
  <si>
    <t xml:space="preserve"> -40,621247</t>
  </si>
  <si>
    <t>W02071</t>
  </si>
  <si>
    <t>MONTAR BANCADA COM N3 NO PG: D304965, FECHAR CHAVE NOVA PRÓBIMO AO PG: D304965 E ENERGIZAR OBRA.</t>
  </si>
  <si>
    <t>B-1186119</t>
  </si>
  <si>
    <t>B-1237728</t>
  </si>
  <si>
    <t>B-1237952</t>
  </si>
  <si>
    <t>ER-CIND-FAZ-CACADOR 3336-A-RURAL</t>
  </si>
  <si>
    <t>PONTO NOVO</t>
  </si>
  <si>
    <t>2025-155491</t>
  </si>
  <si>
    <t>2026-873</t>
  </si>
  <si>
    <t>E852067 AO E852068</t>
  </si>
  <si>
    <t>2026-1-47687</t>
  </si>
  <si>
    <t>B557739</t>
  </si>
  <si>
    <t>-11,045720</t>
  </si>
  <si>
    <t xml:space="preserve"> -40,054375</t>
  </si>
  <si>
    <t>N86318</t>
  </si>
  <si>
    <t>INTERCALAR POSTE AT COM N1 E TRAFO ENTRE OS PG: B557739 - B557740, FECHAR CHAVE NOVA PRÓBIMO AO PG: B557740 E ENERGIZAR OBRA.</t>
  </si>
  <si>
    <t>B-1196565</t>
  </si>
  <si>
    <t>ER-CIND-FAZ-LARANJEIRA 363-RURAL</t>
  </si>
  <si>
    <t>2025-147940</t>
  </si>
  <si>
    <t>2026-874</t>
  </si>
  <si>
    <t>2026-1-28905</t>
  </si>
  <si>
    <t>E666921</t>
  </si>
  <si>
    <t>-10,879763</t>
  </si>
  <si>
    <t>-40,172322</t>
  </si>
  <si>
    <t>PON-01B1</t>
  </si>
  <si>
    <t>D05303</t>
  </si>
  <si>
    <t>INTERCALAR POSTE AT COM N1 E TRAFO ENTRE OS PG: E666921 - E666922, FECHAR CHAVE NOVA PRÓBIMO AO PG: E666921  E ENERGIZAR OBRA.</t>
  </si>
  <si>
    <t>B-1199288</t>
  </si>
  <si>
    <t>B-1233981</t>
  </si>
  <si>
    <t>B-1234117</t>
  </si>
  <si>
    <t>ER-CIND-FAZ DEUS DARA 2-RURAL BARRACAS</t>
  </si>
  <si>
    <t>2025-147942</t>
  </si>
  <si>
    <t>2026-876</t>
  </si>
  <si>
    <t>E852073 AO E852076</t>
  </si>
  <si>
    <t>2026-1-47869</t>
  </si>
  <si>
    <t>R015828</t>
  </si>
  <si>
    <t xml:space="preserve"> -11,104403</t>
  </si>
  <si>
    <t xml:space="preserve"> -40,052953</t>
  </si>
  <si>
    <t>J04815</t>
  </si>
  <si>
    <t>INTERCALAR POSTE AT COM N1 E TRAFO ENTRE OS PG: R015828 - R015829, FECHAR CHAVE NOVA PRÓBIMO AO PG: R015829 E ENERGIZAR OBRA.</t>
  </si>
  <si>
    <t>B-1238412</t>
  </si>
  <si>
    <t>B-1238425</t>
  </si>
  <si>
    <t>ER-CIND-POV-CORNICHA 3365-CORNICHA</t>
  </si>
  <si>
    <t>2025-147946</t>
  </si>
  <si>
    <t>2026-878</t>
  </si>
  <si>
    <t>E852077 AO E852078</t>
  </si>
  <si>
    <t>2626-1-46456</t>
  </si>
  <si>
    <t>D055539</t>
  </si>
  <si>
    <t>-10,951153</t>
  </si>
  <si>
    <t xml:space="preserve">-40,205916 </t>
  </si>
  <si>
    <t>J53519</t>
  </si>
  <si>
    <t>INTERCALAR POSTE AT COM N1 E TRAFO ENTRE OS PG: D055539 - D055540, FECHAR CHAVE NOVA PRÓBIMO AO PG: D055539  E ENERGIZAR OBRA.</t>
  </si>
  <si>
    <t>B-1231602</t>
  </si>
  <si>
    <t>ER-CIND-FAZ-LAGOA DA CARAIBA-SERROLANDIA</t>
  </si>
  <si>
    <t>2025-163021</t>
  </si>
  <si>
    <t>E852090 AO E852091</t>
  </si>
  <si>
    <t>2026-1-65600</t>
  </si>
  <si>
    <t>D204609</t>
  </si>
  <si>
    <t xml:space="preserve">-11,371618 </t>
  </si>
  <si>
    <t xml:space="preserve">-40,278830 </t>
  </si>
  <si>
    <t>H76193</t>
  </si>
  <si>
    <t>ENCABEÇAR RD BT NO PG: D204609 E ENERGIZAR OBRA.</t>
  </si>
  <si>
    <t>B-1219262</t>
  </si>
  <si>
    <t>RR-CIND-FAZ-BRASILEIRO 9999 B-CAICARA</t>
  </si>
  <si>
    <t>2025-162774</t>
  </si>
  <si>
    <t>2025-163228</t>
  </si>
  <si>
    <t>1045679</t>
  </si>
  <si>
    <t>E932351 AO E932369 / E852206</t>
  </si>
  <si>
    <t>2026-1-119305</t>
  </si>
  <si>
    <t>B301449</t>
  </si>
  <si>
    <t xml:space="preserve">  -11,333913   </t>
  </si>
  <si>
    <t xml:space="preserve"> -40,186240</t>
  </si>
  <si>
    <t>V24972</t>
  </si>
  <si>
    <t>MONTAR BANCADA COM N3 NO PG: B301449, FECHAR CHAVE NOVA PRÓBIMO AO PG: B301449 E ENERGIZAR OBRA.</t>
  </si>
  <si>
    <t>Cinta 240, Isolador bastao. trafo 34 kv 10kva, alça de cabo 4, laco de 25mm, para raio</t>
  </si>
  <si>
    <t>B-1068194</t>
  </si>
  <si>
    <t>ER-CIND-FAZ-STA BARBARA-RURAL</t>
  </si>
  <si>
    <t>TAPIRAMUTÁ</t>
  </si>
  <si>
    <t>2025-162676</t>
  </si>
  <si>
    <t>1045719</t>
  </si>
  <si>
    <t>E933045 AO E933053</t>
  </si>
  <si>
    <t>2026-1-104523</t>
  </si>
  <si>
    <t>E096317</t>
  </si>
  <si>
    <t xml:space="preserve">-11,882896 </t>
  </si>
  <si>
    <t>-40,811260</t>
  </si>
  <si>
    <t>TPM-01Z1 3#4</t>
  </si>
  <si>
    <t>J12326</t>
  </si>
  <si>
    <t>MONTAR BANCADA COM N3 NO PG: R045355, FECHAR CHAVE NOVA PRÓBIMO AO PG: E096317 E ENERGIZAR OBRA.</t>
  </si>
  <si>
    <t>2025-163186</t>
  </si>
  <si>
    <t>Trafo 10kva (01 CDA), alca de cabo 4 (20 CDA), cabo pot (9 KG), para raio</t>
  </si>
  <si>
    <t>B-1117461</t>
  </si>
  <si>
    <t>ER-CIND-FAZ-MONTE ALTO-RURAL-TAPIRAMUTA</t>
  </si>
  <si>
    <t>VISITADA PELO ENC. GERALDO. ALTERAR 02 ULTIMOS POSTES BT PARA FIBRA.</t>
  </si>
  <si>
    <t>2025-162685</t>
  </si>
  <si>
    <t>1045717</t>
  </si>
  <si>
    <t>E933054 AO E933061</t>
  </si>
  <si>
    <t>2026-1-108680</t>
  </si>
  <si>
    <t>R212645</t>
  </si>
  <si>
    <t xml:space="preserve"> -11,837371  </t>
  </si>
  <si>
    <t>-40,786735</t>
  </si>
  <si>
    <t>TPM-01Z2 3#4</t>
  </si>
  <si>
    <t>J18304</t>
  </si>
  <si>
    <t>INTERCALAR POSTE AT COM N1-3 ENTRE OS PG: R212646 - R212645, FECHAR CHAVE NOVA PRÓBIMO AO PG: R212645 E ENERGIZAR OBRA.</t>
  </si>
  <si>
    <t>2025-163197</t>
  </si>
  <si>
    <t>Trafo 10kva, alca de cabo 4, cabo pot, para raio</t>
  </si>
  <si>
    <t>B-1039076</t>
  </si>
  <si>
    <t>B-1090945</t>
  </si>
  <si>
    <t>B-1090946</t>
  </si>
  <si>
    <t>RR-CIND-RUA-PAU DE PILAO-CENTRO</t>
  </si>
  <si>
    <t>2025-162689</t>
  </si>
  <si>
    <t>2025-162724</t>
  </si>
  <si>
    <t>2025-162618</t>
  </si>
  <si>
    <t>1045718</t>
  </si>
  <si>
    <t>E933062 AO E933070</t>
  </si>
  <si>
    <t>2026-1-79572</t>
  </si>
  <si>
    <t>D021550</t>
  </si>
  <si>
    <t xml:space="preserve">    -11,837911</t>
  </si>
  <si>
    <t xml:space="preserve"> -40,798076</t>
  </si>
  <si>
    <t>DJ: J03267</t>
  </si>
  <si>
    <t>ALTERAR ESTRUTURA DE M3 P/ M4 NO PG: D021550 E ENERGIZAR OBRA.</t>
  </si>
  <si>
    <t>B-1146347</t>
  </si>
  <si>
    <t>IS-COEL-RUA-SOBRINHO-CENTRO</t>
  </si>
  <si>
    <t>2025-162690</t>
  </si>
  <si>
    <t>2026-9231</t>
  </si>
  <si>
    <t>2025-162621</t>
  </si>
  <si>
    <t>1045724</t>
  </si>
  <si>
    <t>E933071 AO E933079</t>
  </si>
  <si>
    <t>2026-1-84925</t>
  </si>
  <si>
    <t>R040949</t>
  </si>
  <si>
    <t>-11,845056</t>
  </si>
  <si>
    <t xml:space="preserve"> -40,803651</t>
  </si>
  <si>
    <t>J14597</t>
  </si>
  <si>
    <t>INTERCALAR POSTE AT COM N1 -CE3 ENTRE OS PG: R213036 - R040949, FECHAR CHAVE NOVA PRÓBIMO AO PG: R040949 E ENERGIZAR OBRA.</t>
  </si>
  <si>
    <t>B-1109011</t>
  </si>
  <si>
    <t>ER-CIND-FAZ-PALMEIRAL-RURAL-VOLTA GRANDE</t>
  </si>
  <si>
    <t>VISITA JAILTON</t>
  </si>
  <si>
    <t>2025-162691</t>
  </si>
  <si>
    <t>2025-163202</t>
  </si>
  <si>
    <t>1045680</t>
  </si>
  <si>
    <t>E932372 AO E932378</t>
  </si>
  <si>
    <t>2026-1-91217</t>
  </si>
  <si>
    <t>R033844</t>
  </si>
  <si>
    <t xml:space="preserve">  -11,893338 </t>
  </si>
  <si>
    <t>-40,832848</t>
  </si>
  <si>
    <t>INTERCALAR POSTE AT COM N1 E TRAFO ENTRE OS PG: R033844 - R045331, FECHAR CHAVE NOVA PRÓBIMO AO PG: R033844  E ENERGIZAR OBRA.</t>
  </si>
  <si>
    <t>Trafo 10kva (01 CDA), laço de 25mm (04 CDA), para raio</t>
  </si>
  <si>
    <t>B-1134807</t>
  </si>
  <si>
    <t>B-1239951</t>
  </si>
  <si>
    <t>B-1240196</t>
  </si>
  <si>
    <t>ER-CIND-FAZ-CAFUNDO-RURAL</t>
  </si>
  <si>
    <t>2025-162699</t>
  </si>
  <si>
    <t>E836194 AO E836196</t>
  </si>
  <si>
    <t>2026-1-63714</t>
  </si>
  <si>
    <t>E119626</t>
  </si>
  <si>
    <t xml:space="preserve">  -11,805820</t>
  </si>
  <si>
    <t>-40,799102</t>
  </si>
  <si>
    <t>TPM-01Z2 2#4</t>
  </si>
  <si>
    <t>V11202</t>
  </si>
  <si>
    <t>INTERCALAR 02 POSTES AT COM N1 ENTRE OS PG: E119632 - E119636, ENCABEÇAR RD BT NO PG: E119632 E ENERGIZAR OBRA.</t>
  </si>
  <si>
    <t>2025-163203</t>
  </si>
  <si>
    <t>B-1175877</t>
  </si>
  <si>
    <t>B-1240001</t>
  </si>
  <si>
    <t>B-1240269</t>
  </si>
  <si>
    <t>ER-CIND-POV-PINDOBEIRA-RURAL</t>
  </si>
  <si>
    <t>VISITADA PELO ENC. RODRIGO. OBRA TERÁ ADICIONAL DE 03 POSTES E 03 UCS.</t>
  </si>
  <si>
    <t>23/12/25
06/01/25</t>
  </si>
  <si>
    <t>2025-163138</t>
  </si>
  <si>
    <t>1045683</t>
  </si>
  <si>
    <t xml:space="preserve">E932383 AO E932389
E852142  AO  E852144 </t>
  </si>
  <si>
    <t>2026-1-31019</t>
  </si>
  <si>
    <t>R210398</t>
  </si>
  <si>
    <t xml:space="preserve">-11,793405 </t>
  </si>
  <si>
    <t xml:space="preserve"> -40,764242</t>
  </si>
  <si>
    <t>J18315</t>
  </si>
  <si>
    <t>ENCABEÇAR RD BT NO PG: R210398 E ENERGIZAR OBRA.</t>
  </si>
  <si>
    <t>B-1225109</t>
  </si>
  <si>
    <t>ER-CIND-FAZ-SANTA CRUZ 13-RURAL</t>
  </si>
  <si>
    <t>2025-162703</t>
  </si>
  <si>
    <t>2025-162726</t>
  </si>
  <si>
    <t>1045681</t>
  </si>
  <si>
    <t>E932398 AO E932404</t>
  </si>
  <si>
    <t>2026-1-93893</t>
  </si>
  <si>
    <t>D539249</t>
  </si>
  <si>
    <t>-11,822655</t>
  </si>
  <si>
    <t xml:space="preserve"> -40,799378</t>
  </si>
  <si>
    <t>N18809</t>
  </si>
  <si>
    <t>ALTERAR ESTRUTURA DE N3 P/ N4 NO PG: D539249, FECHAR CHAVE NOVA PRÓBIMO AO PG: D539249 E ENERGIZAR OBRA.</t>
  </si>
  <si>
    <t>2025-163205</t>
  </si>
  <si>
    <t>B-1230323</t>
  </si>
  <si>
    <t>B-1244983</t>
  </si>
  <si>
    <t>B-1244741</t>
  </si>
  <si>
    <t>ER-CIND-ROD-VOLTA GRANDE-CENTRO</t>
  </si>
  <si>
    <t>VISITA JULIO / CARLOS</t>
  </si>
  <si>
    <t>2025-163140</t>
  </si>
  <si>
    <t>1045682</t>
  </si>
  <si>
    <t>E932408 AO E932416
E852150</t>
  </si>
  <si>
    <t>2026-1-56587</t>
  </si>
  <si>
    <t>D515653</t>
  </si>
  <si>
    <t xml:space="preserve">  -11,848402 </t>
  </si>
  <si>
    <t>-40,810984</t>
  </si>
  <si>
    <t>W65133</t>
  </si>
  <si>
    <t>INTERCALAR POSTE BT ENTRE OS PG: D515653 - D515652 E ENERGIZAR OBRA.</t>
  </si>
  <si>
    <t>B-1234152</t>
  </si>
  <si>
    <t>B-1245270</t>
  </si>
  <si>
    <t>B-1245276</t>
  </si>
  <si>
    <t>ER-CIND-FAZ- CAFUNDO-RURAL-TAPIRAMUTA</t>
  </si>
  <si>
    <t>VISITA JULIO</t>
  </si>
  <si>
    <t>2025-162704</t>
  </si>
  <si>
    <t>2025-163210</t>
  </si>
  <si>
    <t>1045695</t>
  </si>
  <si>
    <t>E932622 AO E932628</t>
  </si>
  <si>
    <t>2026-1-91648</t>
  </si>
  <si>
    <t>E026619</t>
  </si>
  <si>
    <t>-11,807270</t>
  </si>
  <si>
    <t xml:space="preserve"> -40,773100</t>
  </si>
  <si>
    <t>J18312</t>
  </si>
  <si>
    <t>INTERCALAR POSTE AT COM N1 E TRAFO ENTRE OS PG: E026618 - E026619, FECHAR CHAVE NOVA PRÓBIMO AO PG: E026619 E ENERGIZAR OBRA.</t>
  </si>
  <si>
    <t>Trafo 10kva, laço de 25mm</t>
  </si>
  <si>
    <t>B-1061109</t>
  </si>
  <si>
    <t>MP-CIND-POV-ASSENTAMENTO LAMEIRO-RURAL</t>
  </si>
  <si>
    <t>2025-148028</t>
  </si>
  <si>
    <t>2026-881</t>
  </si>
  <si>
    <t>1043450</t>
  </si>
  <si>
    <t>E918515 AO E918532</t>
  </si>
  <si>
    <t>2026-1-40719</t>
  </si>
  <si>
    <t xml:space="preserve">D220329 </t>
  </si>
  <si>
    <t>-11,884652</t>
  </si>
  <si>
    <t xml:space="preserve"> -40,886199</t>
  </si>
  <si>
    <t>H86531</t>
  </si>
  <si>
    <t>D220329</t>
  </si>
  <si>
    <t>SUBSTITUIR POSTE 11/600 POR 11/1000 NO PG: D220329 E ENERGIZAR OBRA.</t>
  </si>
  <si>
    <t>B-1075918</t>
  </si>
  <si>
    <t>B-1075920</t>
  </si>
  <si>
    <t>B-1075926</t>
  </si>
  <si>
    <t>MP-CIND FAZ PORTO DE AREIA RURAL</t>
  </si>
  <si>
    <t>VISITADA PELO ENCARREGADO, APTA, COM AJUSTES.</t>
  </si>
  <si>
    <t>2025-148029</t>
  </si>
  <si>
    <t>2026-884</t>
  </si>
  <si>
    <t>1043452</t>
  </si>
  <si>
    <t>E918533 AO E918546/E843618</t>
  </si>
  <si>
    <t>2026-1-44083</t>
  </si>
  <si>
    <t>E026628</t>
  </si>
  <si>
    <t>-11,801465</t>
  </si>
  <si>
    <t xml:space="preserve"> -40,772141</t>
  </si>
  <si>
    <t>MONTAR BANCADA COM N3 NO PG: E026628, FECHAR CHAVE NOVA PRÓBIMO AO PG: E026628 E ENERGIZAR OBRA.</t>
  </si>
  <si>
    <t>B-1226823</t>
  </si>
  <si>
    <t>ER-CIND-POV-BRONCO 24-RURAL</t>
  </si>
  <si>
    <t>2025-148041</t>
  </si>
  <si>
    <t>2026-892</t>
  </si>
  <si>
    <t>E835979 AO E835982</t>
  </si>
  <si>
    <t>2026-1-40489</t>
  </si>
  <si>
    <t xml:space="preserve">R214814 </t>
  </si>
  <si>
    <t>-11,856414</t>
  </si>
  <si>
    <t xml:space="preserve"> -40,730078</t>
  </si>
  <si>
    <t>J14677</t>
  </si>
  <si>
    <t>R214814</t>
  </si>
  <si>
    <t>INTERCALAR POSTE AT COM N1 E TRAFO ENTRE OS PG: R214814 - R214848, FECHAR CHAVE NOVA PRÓBIMO AO PG: R214814  E ENERGIZAR OBRA.</t>
  </si>
  <si>
    <t>B-1055977</t>
  </si>
  <si>
    <t>B-1055979</t>
  </si>
  <si>
    <t>B-1055980</t>
  </si>
  <si>
    <t>MP-CIND-POV-SÃO BENTO RURAL</t>
  </si>
  <si>
    <t>2025-162778</t>
  </si>
  <si>
    <t>2025-162798</t>
  </si>
  <si>
    <t>1045697</t>
  </si>
  <si>
    <t>E932629 AO E932632</t>
  </si>
  <si>
    <t>2026-1-116892</t>
  </si>
  <si>
    <t>D099538</t>
  </si>
  <si>
    <t>-11,663829</t>
  </si>
  <si>
    <t xml:space="preserve"> -40,066493</t>
  </si>
  <si>
    <t>J58138</t>
  </si>
  <si>
    <t>SUBSTITUIR POSTES AT NO PG: D099538, ALTERAR ESTRUTURA DE N3 P/ N4 NO PG: D099538 E ENERGIZAR OBRA.</t>
  </si>
  <si>
    <t>2 Para raio e 40kg de cabo 4</t>
  </si>
  <si>
    <t>B-1133568</t>
  </si>
  <si>
    <t>B-1133570</t>
  </si>
  <si>
    <t>B-1133569</t>
  </si>
  <si>
    <t>ER CIND POV VARZEA GRANDE RURAL</t>
  </si>
  <si>
    <t>2025-163056</t>
  </si>
  <si>
    <t>2026-1-63800</t>
  </si>
  <si>
    <t>D099294</t>
  </si>
  <si>
    <t>-11,567701</t>
  </si>
  <si>
    <t>-40,015409</t>
  </si>
  <si>
    <t>J58144</t>
  </si>
  <si>
    <t>ENCABEÇAR RD BT NO PG: D099294 E ENERGIZAR OBRA.</t>
  </si>
  <si>
    <t>B-1231838</t>
  </si>
  <si>
    <t>AC-CIND-POV-BARBOSA PRUDENCIO 388-RURAL</t>
  </si>
  <si>
    <t>2025-163058</t>
  </si>
  <si>
    <t>E903637</t>
  </si>
  <si>
    <t>2026-1-60206</t>
  </si>
  <si>
    <t>D754429</t>
  </si>
  <si>
    <t xml:space="preserve">-11,599037   </t>
  </si>
  <si>
    <t>-40,104071</t>
  </si>
  <si>
    <t>CGD-09S2</t>
  </si>
  <si>
    <t>N17309</t>
  </si>
  <si>
    <t>ENCABEÇAR RD BT NO PG: D754429 E ENERGIZAR OBRA.</t>
  </si>
  <si>
    <t>2025-162783</t>
  </si>
  <si>
    <t>E852092 AO E852093</t>
  </si>
  <si>
    <t>R038549</t>
  </si>
  <si>
    <t>VDR-01V2 3#4</t>
  </si>
  <si>
    <t>B-1171405</t>
  </si>
  <si>
    <t>B-1239998</t>
  </si>
  <si>
    <t>B-1240265</t>
  </si>
  <si>
    <t>ER-CIND-RUA-AYRTON SENNA 72-RURAL</t>
  </si>
  <si>
    <t>2025-163077</t>
  </si>
  <si>
    <t>E836019</t>
  </si>
  <si>
    <t>2026-1-44528</t>
  </si>
  <si>
    <t>E340300</t>
  </si>
  <si>
    <t>-11,606892</t>
  </si>
  <si>
    <t xml:space="preserve"> -40,142327</t>
  </si>
  <si>
    <t>W40361</t>
  </si>
  <si>
    <t>ENCABEÇAR RD BT NO PG: E340300 E ENERGIZAR OBRA.</t>
  </si>
  <si>
    <t>B-1230695</t>
  </si>
  <si>
    <t>B-1244953</t>
  </si>
  <si>
    <t>B-1244990</t>
  </si>
  <si>
    <t>ER-CIND-FAZ-CHAPEU QUEIMADO-RURAL</t>
  </si>
  <si>
    <t>2025-162786</t>
  </si>
  <si>
    <t>E836025 E E836026</t>
  </si>
  <si>
    <t>2026-1-75625</t>
  </si>
  <si>
    <t>D242037</t>
  </si>
  <si>
    <t xml:space="preserve">    -11,577420   </t>
  </si>
  <si>
    <t>-40,132716</t>
  </si>
  <si>
    <t>VDR-01V1 3#4</t>
  </si>
  <si>
    <t>W11427</t>
  </si>
  <si>
    <t>INTERCALAR POSTE AT COM N1 ENTRE OS PG: D242037 - D242040, ENCABEÇAR RD BT NO PG: D242037  E ENERGIZAR OBRA.</t>
  </si>
  <si>
    <t>B-1231725</t>
  </si>
  <si>
    <t>ER-CIND-FAZ-S O ROQUE 13-RURAL VARZEA DA</t>
  </si>
  <si>
    <t>2025-163084</t>
  </si>
  <si>
    <t>2026-1-66268</t>
  </si>
  <si>
    <t>D241958</t>
  </si>
  <si>
    <t>-11,597794</t>
  </si>
  <si>
    <t>-40,208387</t>
  </si>
  <si>
    <t>D08594</t>
  </si>
  <si>
    <t>ENCABEÇAR RD BT NO PG: E653114 E ENERGIZAR OBRA.</t>
  </si>
  <si>
    <t>B-1231778</t>
  </si>
  <si>
    <t>ER-CIND-FAZ-GRAVATA-BARRACAS</t>
  </si>
  <si>
    <t>CLIENTE SOLICITANTE NÃO QUIS ATENDIMENTO</t>
  </si>
  <si>
    <t>FVP - 27/01/26</t>
  </si>
  <si>
    <t>2025-162787</t>
  </si>
  <si>
    <t>2025-162595</t>
  </si>
  <si>
    <t>R043377</t>
  </si>
  <si>
    <t>-11,626273</t>
  </si>
  <si>
    <t>-40,154435</t>
  </si>
  <si>
    <t>DJ: J60194</t>
  </si>
  <si>
    <t>INTERCALAR POSTE AT COM N1 ENTRE OS PG: R043377 - R043376, ENCABEÇAR RD BT  E ENERGIZAR OBRA.</t>
  </si>
  <si>
    <t>B-1233456</t>
  </si>
  <si>
    <t>ER-CIND-FAZ-BARBOSA-RURAL</t>
  </si>
  <si>
    <t>2025-163090</t>
  </si>
  <si>
    <t>E852082 AO E852083</t>
  </si>
  <si>
    <t>2026-1-55963</t>
  </si>
  <si>
    <t>E501130</t>
  </si>
  <si>
    <t>-11,594193</t>
  </si>
  <si>
    <t>-40,117911</t>
  </si>
  <si>
    <t>V25110</t>
  </si>
  <si>
    <t>INTERCALAR POSTE BT ENTRE OS PG: E051129 - E501130 E ENERGIZAR OBRA.</t>
  </si>
  <si>
    <t>B-1233695</t>
  </si>
  <si>
    <t>ER-CIND-FAZ-VARZEA DO POCO-BARBOSA RURAL</t>
  </si>
  <si>
    <t>2025-163092</t>
  </si>
  <si>
    <t>E836023 E E836024</t>
  </si>
  <si>
    <t>2026-1-55789</t>
  </si>
  <si>
    <t>E268267</t>
  </si>
  <si>
    <t>-11,6206548</t>
  </si>
  <si>
    <t>-40,1218129</t>
  </si>
  <si>
    <t>V31123</t>
  </si>
  <si>
    <t>ENCABEÇAR RD BT NO PG: E268267 E ENERGIZAR OBRA.</t>
  </si>
  <si>
    <t>B-1235784</t>
  </si>
  <si>
    <t>ER-CIND-POV-VARZEA GRANDE 146-RURAL</t>
  </si>
  <si>
    <t>NECESSÁRIO DE ADICIONAL DE 120M DE CABO 1B25</t>
  </si>
  <si>
    <t>VISITADA PELE ENC. NECESSÁRIO DE ADICIONAL DE 50M DE CABO 1B25</t>
  </si>
  <si>
    <r>
      <rPr>
        <rFont val="Calibri"/>
        <color rgb="FF0000FF"/>
        <sz val="9.0"/>
        <u/>
      </rPr>
      <t xml:space="preserve">2025-162788
</t>
    </r>
    <r>
      <rPr>
        <rFont val="Calibri"/>
        <color rgb="FF0000FF"/>
        <sz val="9.0"/>
        <u/>
      </rPr>
      <t>2026-8963</t>
    </r>
  </si>
  <si>
    <t>2025-163323</t>
  </si>
  <si>
    <t>1045699</t>
  </si>
  <si>
    <t>E932648 AO E932659 / E852195- E852205</t>
  </si>
  <si>
    <t>2026-1-108714</t>
  </si>
  <si>
    <t>D099324</t>
  </si>
  <si>
    <t>-11,578043</t>
  </si>
  <si>
    <t xml:space="preserve"> -40,011484</t>
  </si>
  <si>
    <t>J58150</t>
  </si>
  <si>
    <t>MONTAR BANCADA COM N3 NO PG: D099324, FECHAR CHAVE NOVA PRÓBIMO AO PG: D099324 E ENERGIZAR OBRA.</t>
  </si>
  <si>
    <t>B-1229626</t>
  </si>
  <si>
    <t>ER-CIND-FAZ-VARZEA DA PEDRA 107-RURAL</t>
  </si>
  <si>
    <t>2025-163097</t>
  </si>
  <si>
    <t>1045700</t>
  </si>
  <si>
    <t>E932660 AO E932665</t>
  </si>
  <si>
    <t>2026-1-66936</t>
  </si>
  <si>
    <t>D212210</t>
  </si>
  <si>
    <t>-11,548484</t>
  </si>
  <si>
    <t xml:space="preserve">-40,313910 </t>
  </si>
  <si>
    <t>H80942</t>
  </si>
  <si>
    <t>ENCABEÇAR RD BT NO PG: D212210 E ENERGIZAR OBRA.</t>
  </si>
  <si>
    <t>B-1129578</t>
  </si>
  <si>
    <t>B-1239944</t>
  </si>
  <si>
    <t>B-1240191</t>
  </si>
  <si>
    <t>ER-CIND-POV-PE DO MORRO-RURAL</t>
  </si>
  <si>
    <t>2025-162793</t>
  </si>
  <si>
    <t>2025-163331</t>
  </si>
  <si>
    <t>1045701</t>
  </si>
  <si>
    <t>E932666 AO E932670
E956610</t>
  </si>
  <si>
    <t>2026-1-101661</t>
  </si>
  <si>
    <t>D313613</t>
  </si>
  <si>
    <t xml:space="preserve">-11,460172 </t>
  </si>
  <si>
    <t>-40,323798</t>
  </si>
  <si>
    <t>W02170</t>
  </si>
  <si>
    <t>SUBSTITUIR POSTE 11/200 POR 11/400 NO PG: D313619, INTERCALAR POSTE AT COM N1 ENTRE OS PG: D313619 - D313613 E ENERGIZAR OBRA.</t>
  </si>
  <si>
    <t>5 laços de 25mm</t>
  </si>
  <si>
    <t>B-1230619</t>
  </si>
  <si>
    <t>B-1244951</t>
  </si>
  <si>
    <t>B-1244988</t>
  </si>
  <si>
    <t>ER-CCOL-FAZ-BONS OLHOS-ALTO ALEGRE</t>
  </si>
  <si>
    <t>2025-163098</t>
  </si>
  <si>
    <t>E894876 AO E894879</t>
  </si>
  <si>
    <t>2026-1-75074</t>
  </si>
  <si>
    <t>D243508</t>
  </si>
  <si>
    <t>-11,538511</t>
  </si>
  <si>
    <t>-40,267999</t>
  </si>
  <si>
    <t>H19580</t>
  </si>
  <si>
    <t>ENCABEÇAR RD BT NO PG: D243508 E ENERGIZAR OBRA.</t>
  </si>
  <si>
    <t>B-1165848</t>
  </si>
  <si>
    <t>ER-CIND-FAZ-BOA VISTA-RURAL</t>
  </si>
  <si>
    <t>2026-3902</t>
  </si>
  <si>
    <t>2026-4022</t>
  </si>
  <si>
    <t>1045672</t>
  </si>
  <si>
    <t>E932192 AO E932202
E956614 AO E956619</t>
  </si>
  <si>
    <t>2026-1-113701</t>
  </si>
  <si>
    <t xml:space="preserve">L432077 </t>
  </si>
  <si>
    <t>-11,82829857</t>
  </si>
  <si>
    <t>-40,48787308</t>
  </si>
  <si>
    <t>DJ: J03285</t>
  </si>
  <si>
    <t>L432077</t>
  </si>
  <si>
    <t>INTERCALAR POSTE AT COM N1 E TRAFO ENTRE OS PG: L432077 - L432078, FECHAR CHAVE NOVA PRÓBIMO AO PG: L432077  E ENERGIZAR OBRA.</t>
  </si>
  <si>
    <t>B-1236759</t>
  </si>
  <si>
    <t>ER-CIND-POV-BURRO-BOM</t>
  </si>
  <si>
    <t>2026-9983</t>
  </si>
  <si>
    <t>1045698</t>
  </si>
  <si>
    <t>E932641 AO E932647</t>
  </si>
  <si>
    <t>2026-1-87656</t>
  </si>
  <si>
    <t xml:space="preserve">D093636 </t>
  </si>
  <si>
    <t>-12,015022</t>
  </si>
  <si>
    <t xml:space="preserve"> -40,832435</t>
  </si>
  <si>
    <t>J57829</t>
  </si>
  <si>
    <t>D093636</t>
  </si>
  <si>
    <t>ENCABEÇAR RD BT NO PG: D093636 E ENERGIZAR OBRA</t>
  </si>
  <si>
    <t>B-1236827</t>
  </si>
  <si>
    <t>ER-CIND-FAZ-VELAME 199-VELAME</t>
  </si>
  <si>
    <t>2026-3964</t>
  </si>
  <si>
    <t>E852167 AO E852169</t>
  </si>
  <si>
    <t>2026-1-69264</t>
  </si>
  <si>
    <t xml:space="preserve">E761307 </t>
  </si>
  <si>
    <t>-11,201925</t>
  </si>
  <si>
    <t>-40,597157</t>
  </si>
  <si>
    <t>D05258</t>
  </si>
  <si>
    <t>E761307</t>
  </si>
  <si>
    <t>ENCABEÇAR RD BT NO PG: E761307 E ENERGIZAR OBRA.</t>
  </si>
  <si>
    <t>B-1237522</t>
  </si>
  <si>
    <t>ER-CIND-POV-SARGENTO-FAZENDAS</t>
  </si>
  <si>
    <t>2026-3967</t>
  </si>
  <si>
    <t>E852170 AO E852171</t>
  </si>
  <si>
    <t>2026-1-69796</t>
  </si>
  <si>
    <t xml:space="preserve">E225509 </t>
  </si>
  <si>
    <t>-11,1384186</t>
  </si>
  <si>
    <t>-40,5825519</t>
  </si>
  <si>
    <t>J54735</t>
  </si>
  <si>
    <t>E225509</t>
  </si>
  <si>
    <t>INTRECALAR POSTE BT ENTRE OS PG: E225509 - E225510 E ENERGIZAR OBRA.</t>
  </si>
  <si>
    <t>B-1237623</t>
  </si>
  <si>
    <t>ER-CIND-POV-FZ CARRAPATO-VARZEA DA ROCA</t>
  </si>
  <si>
    <t>2026-3968</t>
  </si>
  <si>
    <t>E852172 AO E852176</t>
  </si>
  <si>
    <t>2026-1-82183</t>
  </si>
  <si>
    <t xml:space="preserve">L359960 </t>
  </si>
  <si>
    <r>
      <rPr>
        <rFont val="Calibri"/>
        <color rgb="FF0000FF"/>
        <sz val="9.0"/>
        <u/>
      </rPr>
      <t>-11</t>
    </r>
    <r>
      <rPr>
        <rFont val="Calibri"/>
        <color rgb="FF0000FF"/>
        <sz val="9.0"/>
      </rPr>
      <t>,599150</t>
    </r>
  </si>
  <si>
    <t>-40,097687</t>
  </si>
  <si>
    <t>W73998</t>
  </si>
  <si>
    <t>L359960</t>
  </si>
  <si>
    <t>INTRECALAR POSTE BT ENTRE OS PG: L359960 - L359902 E ENERGIZAR OBRA.</t>
  </si>
  <si>
    <t>B-1237707</t>
  </si>
  <si>
    <t>ER-CIND-FAZ-ALDEIA 12-LAGEDO DO BRAGA</t>
  </si>
  <si>
    <t>2026-3907</t>
  </si>
  <si>
    <t>1045673</t>
  </si>
  <si>
    <t>E932204 AO E932213/ E852177 AO E852179</t>
  </si>
  <si>
    <t>2026-1-108697</t>
  </si>
  <si>
    <t>E786709</t>
  </si>
  <si>
    <t>-11,446337</t>
  </si>
  <si>
    <t>-40,341047</t>
  </si>
  <si>
    <t>E30854</t>
  </si>
  <si>
    <t>ALTERAR ESTRUTURA DE N3 P/ N4 NO PG: E786709, FECHAR CHAVE NOVA PRÓBIMO AO PG: E786709 E ENERGIZAR OBRA.</t>
  </si>
  <si>
    <t>Trafo, Para raio e cabo 4</t>
  </si>
  <si>
    <t>B-1237765</t>
  </si>
  <si>
    <t>ER-CIND-POV-S O ROQUE-RURAL</t>
  </si>
  <si>
    <t>2026-3982</t>
  </si>
  <si>
    <t>E852180 AO E852183</t>
  </si>
  <si>
    <t>2026-1-116912</t>
  </si>
  <si>
    <t xml:space="preserve">B520236 </t>
  </si>
  <si>
    <t>-11,92218198</t>
  </si>
  <si>
    <t>-40,4887384</t>
  </si>
  <si>
    <t>G28796</t>
  </si>
  <si>
    <t>B520236</t>
  </si>
  <si>
    <t>ENCABEÇAR RD BT NO PG: B520236 E ENERGIZAR OBRA.</t>
  </si>
  <si>
    <t>B-1238120</t>
  </si>
  <si>
    <t>ER-CIND-FAZ-BOQUEIRAO 35-SAO MIGUEL</t>
  </si>
  <si>
    <t>2026-3928</t>
  </si>
  <si>
    <t>2026-4030</t>
  </si>
  <si>
    <t>E852184</t>
  </si>
  <si>
    <t>2026-1-107956</t>
  </si>
  <si>
    <t xml:space="preserve">E567400 </t>
  </si>
  <si>
    <t>-10,99310117</t>
  </si>
  <si>
    <t>-40,2314576</t>
  </si>
  <si>
    <t>D03881</t>
  </si>
  <si>
    <t>E567400</t>
  </si>
  <si>
    <t>INTERCALAR POSTE AT COM N1 E TRAFO ENTRE OS PG: E567400 - E567401, FECHAR CHAVE NOVA PRÓBIMO AO PG: E567400  E ENERGIZAR OBRA.</t>
  </si>
  <si>
    <t>Para raio</t>
  </si>
  <si>
    <t>B-1238296</t>
  </si>
  <si>
    <t>ER-CIND-POV-CAMPO SAO JOAO-RURAL VZ MEIO</t>
  </si>
  <si>
    <t>2026-3998</t>
  </si>
  <si>
    <t>E852195</t>
  </si>
  <si>
    <t>2026-1-101578</t>
  </si>
  <si>
    <t xml:space="preserve">B116691 </t>
  </si>
  <si>
    <t>-11,6855662</t>
  </si>
  <si>
    <t>-40,006498</t>
  </si>
  <si>
    <t>T20297</t>
  </si>
  <si>
    <t>B116691</t>
  </si>
  <si>
    <t>ENCABEÇAR RD BT NO PG: B116691 E ENERGIZAR OBRA.</t>
  </si>
  <si>
    <t>B-1238845</t>
  </si>
  <si>
    <t>ER-CIND-FAZ-VARZEA DANTAS-RURAL</t>
  </si>
  <si>
    <t>2026-4002</t>
  </si>
  <si>
    <t>E852196 AO E852199</t>
  </si>
  <si>
    <t>2026-1-112225</t>
  </si>
  <si>
    <t xml:space="preserve">R020401 </t>
  </si>
  <si>
    <t>-11,14621407</t>
  </si>
  <si>
    <t>-40,19428634</t>
  </si>
  <si>
    <t>J03926</t>
  </si>
  <si>
    <t>R020401</t>
  </si>
  <si>
    <t>ENCABEÇAR RD BT NO PG: R020401 E ENERGIZAR OBRA.</t>
  </si>
  <si>
    <t>B-1239445</t>
  </si>
  <si>
    <t>ER-CIND-POV-DE IVO LUCIANO 2054-IVO LUCI</t>
  </si>
  <si>
    <t>2026-3933</t>
  </si>
  <si>
    <t>2026-4033</t>
  </si>
  <si>
    <t>E852200 AO E852201</t>
  </si>
  <si>
    <t>2026-1-94526</t>
  </si>
  <si>
    <t xml:space="preserve">D317384 </t>
  </si>
  <si>
    <t>-11,282612</t>
  </si>
  <si>
    <t>-40,040396</t>
  </si>
  <si>
    <t>W53411</t>
  </si>
  <si>
    <t>D317384</t>
  </si>
  <si>
    <t>INTERCALAR 02 POSTES AT COM N1 ENTRE OS PG: D317384 - D319725, ENCABEÇAR RD BT NO PG: D317380 E ENERGIZAR OBRA.</t>
  </si>
  <si>
    <t>B-1239641</t>
  </si>
  <si>
    <t>ER-CIND-FAZ-TIYUYU 89-KM 2</t>
  </si>
  <si>
    <t>2026-3935</t>
  </si>
  <si>
    <t>2026-4039</t>
  </si>
  <si>
    <t>E852202 AO E852204</t>
  </si>
  <si>
    <t>2026-1-93460</t>
  </si>
  <si>
    <t xml:space="preserve">D321199 </t>
  </si>
  <si>
    <t>-11,302005</t>
  </si>
  <si>
    <t>-40,027070</t>
  </si>
  <si>
    <t>W11824</t>
  </si>
  <si>
    <t>D321199</t>
  </si>
  <si>
    <t>INTERCALAR 03 POSTES AT COM N1 ENTRE OS PG: D321199 - D321197,  ENCABEÇAR RD BT NO PG: D321199  E ENERGIZAR OBRA.</t>
  </si>
  <si>
    <t>B-1237611</t>
  </si>
  <si>
    <t>ER-CIND-FAZ-JENIPAPEIRO-RURAL-ITAITU</t>
  </si>
  <si>
    <t>2026-3139</t>
  </si>
  <si>
    <t>2026-13585</t>
  </si>
  <si>
    <t>E852185 AO E852194</t>
  </si>
  <si>
    <t>2026-1-113586</t>
  </si>
  <si>
    <t>R017124</t>
  </si>
  <si>
    <t>-11,34941586</t>
  </si>
  <si>
    <t>-40,48787039</t>
  </si>
  <si>
    <t>J04735</t>
  </si>
  <si>
    <t>FECHAR CHAVE NOVA PRÓBIMO AO PG: R017124 E ENERGIZAR OBRA.</t>
  </si>
  <si>
    <t>Alca 35mm, laço 35mm e para raio e  Trafo</t>
  </si>
  <si>
    <t>matrícula</t>
  </si>
  <si>
    <t>responsavel</t>
  </si>
  <si>
    <t>cod_equipe</t>
  </si>
  <si>
    <t>des_equipe</t>
  </si>
  <si>
    <t>Centro de Serviço</t>
  </si>
  <si>
    <t>Líder</t>
  </si>
  <si>
    <t>CARLOS-JAC</t>
  </si>
  <si>
    <t>BA-JACOBINA</t>
  </si>
  <si>
    <t>CLEBSON-JAC</t>
  </si>
  <si>
    <t>DOUGLAS-JAC</t>
  </si>
  <si>
    <t>EMERSON-JAC</t>
  </si>
  <si>
    <t>GERALDO-JAC</t>
  </si>
  <si>
    <t>JAILTON-JAC</t>
  </si>
  <si>
    <t>JULIO-JAC</t>
  </si>
  <si>
    <t>RODRIGO-JAC</t>
  </si>
  <si>
    <t>CAIQUE-JAC</t>
  </si>
  <si>
    <t>DIOGO-JAC</t>
  </si>
  <si>
    <t>FABIANO-JAC</t>
  </si>
  <si>
    <t>LUCIANO-JAC</t>
  </si>
  <si>
    <t>CARLOS ANDRE SANTOS DA SILVA - NTS884580</t>
  </si>
  <si>
    <t>ANDRE -JAC</t>
  </si>
  <si>
    <t>PATRICIO DA SILVA BARBOSA - MRA370581</t>
  </si>
  <si>
    <t>PATRICIO-JAC</t>
  </si>
  <si>
    <t>VIVANILTON DA SILVA OLIVEIRA</t>
  </si>
  <si>
    <t>VIVANILTON -JAC</t>
  </si>
  <si>
    <t>JAIR DE JESUS - NTS219592</t>
  </si>
  <si>
    <t>JAIR -JAC</t>
  </si>
  <si>
    <t>FRANCISCO GOES DE JESUS - NTS260555</t>
  </si>
  <si>
    <t>DESLIGADO</t>
  </si>
  <si>
    <t>AMILTON FERNANDO ALVES COSTA - NTS825549</t>
  </si>
  <si>
    <t>FERNANDO-JAC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</si>
</sst>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2">
    <numFmt numFmtId="164" formatCode="dd/MM/yy"/>
    <numFmt numFmtId="165" formatCode="dd/MM/yyyy"/>
    <numFmt numFmtId="166" formatCode="#,##0.0"/>
    <numFmt numFmtId="167" formatCode="0.0"/>
    <numFmt numFmtId="168" formatCode="_([$R$ -416]* #,##0.00_);_([$R$ -416]* \(#,##0.00\);_([$R$ -416]* &quot;-&quot;??_);_(@_)"/>
    <numFmt numFmtId="169" formatCode="dd/MM/YY"/>
    <numFmt numFmtId="170" formatCode="[$R$ -416]#,##0.00"/>
    <numFmt numFmtId="171" formatCode="0.000"/>
    <numFmt numFmtId="172" formatCode="dd/mm/yyyy"/>
    <numFmt numFmtId="173" formatCode="d/m"/>
    <numFmt numFmtId="174" formatCode="dd/mm/yy"/>
    <numFmt numFmtId="175" formatCode="d/m/yy"/>
  </numFmts>
  <fonts count="82">
    <font>
      <sz val="11.0"/>
      <color theme="1"/>
      <name val="Calibri"/>
      <scheme val="minor"/>
    </font>
    <font>
      <sz val="15.0"/>
      <color theme="1"/>
      <name val="Calibri"/>
    </font>
    <font>
      <b/>
      <sz val="15.0"/>
      <color rgb="FFFF0000"/>
      <name val="Calibri"/>
    </font>
    <font>
      <b/>
      <sz val="15.0"/>
      <color rgb="FF0000FF"/>
      <name val="Calibri"/>
    </font>
    <font>
      <b/>
      <u/>
      <sz val="10.0"/>
      <color rgb="FF0000FF"/>
      <name val="Calibri"/>
    </font>
    <font>
      <sz val="9.0"/>
      <color theme="1"/>
      <name val="Calibri"/>
    </font>
    <font>
      <b/>
      <sz val="9.0"/>
      <color theme="1"/>
      <name val="Calibri"/>
    </font>
    <font>
      <color theme="1"/>
      <name val="Calibri"/>
      <scheme val="minor"/>
    </font>
    <font>
      <b/>
      <color theme="1"/>
      <name val="Calibri"/>
      <scheme val="minor"/>
    </font>
    <font>
      <b/>
      <u/>
      <sz val="12.0"/>
      <color rgb="FF0000FF"/>
      <name val="Calibri"/>
    </font>
    <font>
      <sz val="9.0"/>
      <color rgb="FF000000"/>
      <name val="Calibri"/>
    </font>
    <font>
      <b/>
      <sz val="10.0"/>
      <color theme="1"/>
      <name val="Calibri"/>
    </font>
    <font>
      <b/>
      <u/>
      <sz val="10.0"/>
      <color rgb="FF0000FF"/>
      <name val="Calibri"/>
    </font>
    <font>
      <b/>
      <sz val="9.0"/>
      <color rgb="FF000000"/>
      <name val="Calibri"/>
    </font>
    <font>
      <b/>
      <u/>
      <sz val="9.0"/>
      <color rgb="FF000000"/>
      <name val="Calibri"/>
    </font>
    <font>
      <b/>
      <u/>
      <sz val="9.0"/>
      <color rgb="FF0563C1"/>
      <name val="Calibri"/>
    </font>
    <font>
      <b/>
      <sz val="11.0"/>
      <color rgb="FFFF0000"/>
      <name val="Calibri"/>
    </font>
    <font>
      <sz val="10.0"/>
      <color theme="1"/>
      <name val="Calibri"/>
      <scheme val="minor"/>
    </font>
    <font>
      <u/>
      <sz val="9.0"/>
      <color rgb="FF0000FF"/>
      <name val="Calibri"/>
    </font>
    <font>
      <color rgb="FFFF0000"/>
      <name val="Calibri"/>
      <scheme val="minor"/>
    </font>
    <font>
      <sz val="11.0"/>
      <color theme="1"/>
      <name val="Calibri"/>
    </font>
    <font>
      <sz val="9.0"/>
      <color rgb="FFFF0000"/>
      <name val="Calibri"/>
    </font>
    <font>
      <sz val="10.0"/>
      <color rgb="FFFF0000"/>
      <name val="Calibri"/>
      <scheme val="minor"/>
    </font>
    <font>
      <b/>
      <sz val="9.0"/>
      <color rgb="FFFF0000"/>
      <name val="Calibri"/>
    </font>
    <font>
      <u/>
      <sz val="9.0"/>
      <color rgb="FFFF0000"/>
      <name val="Calibri"/>
    </font>
    <font>
      <u/>
      <sz val="9.0"/>
      <color rgb="FFFF0000"/>
      <name val="Calibri"/>
    </font>
    <font>
      <sz val="11.0"/>
      <color rgb="FF1C4587"/>
      <name val="Calibri"/>
    </font>
    <font>
      <b/>
      <sz val="15.0"/>
      <color rgb="FF1C4587"/>
      <name val="Calibri"/>
    </font>
    <font>
      <b/>
      <sz val="11.0"/>
      <color theme="1"/>
      <name val="Calibri"/>
    </font>
    <font>
      <b/>
      <sz val="11.0"/>
      <color rgb="FF9900FF"/>
      <name val="Calibri"/>
    </font>
    <font>
      <b/>
      <sz val="11.0"/>
      <color rgb="FF0000FF"/>
      <name val="Calibri"/>
    </font>
    <font>
      <u/>
      <sz val="9.0"/>
      <color rgb="FF0000FF"/>
      <name val="Calibri"/>
    </font>
    <font>
      <u/>
      <sz val="9.0"/>
      <color rgb="FF0000FF"/>
      <name val="Calibri"/>
    </font>
    <font>
      <u/>
      <sz val="9.0"/>
      <color rgb="FF0000FF"/>
      <name val="Calibri"/>
    </font>
    <font>
      <u/>
      <sz val="9.0"/>
      <color rgb="FF0000FF"/>
      <name val="Calibri"/>
    </font>
    <font>
      <sz val="9.0"/>
      <color rgb="FF0000FF"/>
      <name val="Calibri"/>
    </font>
    <font>
      <b/>
      <sz val="9.0"/>
      <color rgb="FF0000FF"/>
      <name val="Calibri"/>
    </font>
    <font>
      <sz val="10.0"/>
      <color rgb="FF0000FF"/>
      <name val="Calibri"/>
      <scheme val="minor"/>
    </font>
    <font>
      <color rgb="FF0000FF"/>
      <name val="Calibri"/>
      <scheme val="minor"/>
    </font>
    <font>
      <u/>
      <sz val="9.0"/>
      <color rgb="FF0000FF"/>
      <name val="Calibri"/>
    </font>
    <font>
      <u/>
      <sz val="9.0"/>
      <color rgb="FF0000FF"/>
      <name val="Calibri"/>
    </font>
    <font>
      <u/>
      <sz val="9.0"/>
      <color rgb="FF0000FF"/>
      <name val="Calibri"/>
    </font>
    <font>
      <u/>
      <sz val="9.0"/>
      <color rgb="FF0000FF"/>
      <name val="Calibri"/>
    </font>
    <font>
      <u/>
      <sz val="9.0"/>
      <color rgb="FF0000FF"/>
      <name val="Calibri"/>
    </font>
    <font>
      <u/>
      <sz val="9.0"/>
      <color rgb="FF0000FF"/>
      <name val="Calibri"/>
    </font>
    <font>
      <u/>
      <sz val="9.0"/>
      <color rgb="FFFF0000"/>
      <name val="Calibri"/>
    </font>
    <font>
      <u/>
      <sz val="9.0"/>
      <color rgb="FF0000FF"/>
      <name val="Calibri"/>
    </font>
    <font>
      <u/>
      <sz val="9.0"/>
      <color rgb="FF0000FF"/>
      <name val="Calibri"/>
    </font>
    <font>
      <u/>
      <sz val="9.0"/>
      <color rgb="FF0000FF"/>
      <name val="Calibri"/>
    </font>
    <font>
      <u/>
      <sz val="9.0"/>
      <color rgb="FF0563C1"/>
      <name val="Calibri"/>
    </font>
    <font>
      <u/>
      <sz val="9.0"/>
      <color rgb="FF0563C1"/>
      <name val="Calibri"/>
    </font>
    <font>
      <u/>
      <sz val="9.0"/>
      <color rgb="FFFF0000"/>
      <name val="Calibri"/>
    </font>
    <font>
      <u/>
      <sz val="9.0"/>
      <color rgb="FFFF0000"/>
      <name val="Calibri"/>
    </font>
    <font>
      <u/>
      <sz val="9.0"/>
      <color rgb="FF0000FF"/>
      <name val="Calibri"/>
    </font>
    <font>
      <sz val="9.0"/>
      <color rgb="FF0A53A8"/>
      <name val="Calibri"/>
    </font>
    <font>
      <u/>
      <sz val="9.0"/>
      <color rgb="FF0563C1"/>
      <name val="Calibri"/>
    </font>
    <font>
      <sz val="9.0"/>
      <color theme="1"/>
      <name val="Calibri"/>
      <scheme val="minor"/>
    </font>
    <font>
      <u/>
      <sz val="9.0"/>
      <color rgb="FF0000FF"/>
      <name val="Calibri"/>
    </font>
    <font>
      <u/>
      <sz val="9.0"/>
      <color rgb="FF0000FF"/>
      <name val="Calibri"/>
    </font>
    <font>
      <u/>
      <sz val="9.0"/>
      <color rgb="FF0000FF"/>
      <name val="Calibri"/>
    </font>
    <font>
      <u/>
      <sz val="9.0"/>
      <color rgb="FF0563C1"/>
      <name val="Calibri"/>
    </font>
    <font>
      <u/>
      <sz val="9.0"/>
      <color rgb="FFFF0000"/>
      <name val="Calibri"/>
    </font>
    <font>
      <u/>
      <sz val="9.0"/>
      <color rgb="FF0000FF"/>
      <name val="Calibri"/>
    </font>
    <font>
      <u/>
      <sz val="9.0"/>
      <color rgb="FF0000FF"/>
      <name val="Calibri"/>
    </font>
    <font>
      <u/>
      <sz val="9.0"/>
      <color rgb="FF0000FF"/>
      <name val="Calibri"/>
    </font>
    <font>
      <u/>
      <sz val="9.0"/>
      <color rgb="FF0000FF"/>
      <name val="Calibri"/>
    </font>
    <font>
      <u/>
      <sz val="9.0"/>
      <color rgb="FF0000FF"/>
      <name val="Calibri"/>
    </font>
    <font>
      <sz val="11.0"/>
      <color rgb="FF0000FF"/>
      <name val="Calibri"/>
    </font>
    <font>
      <b/>
      <sz val="9.0"/>
      <color rgb="FFFFFFFF"/>
      <name val="Calibri"/>
    </font>
    <font>
      <sz val="9.0"/>
      <color rgb="FF0000FF"/>
      <name val="Calibri"/>
      <scheme val="minor"/>
    </font>
    <font>
      <u/>
      <sz val="9.0"/>
      <color rgb="FFFF0000"/>
      <name val="Calibri"/>
    </font>
    <font>
      <u/>
      <sz val="9.0"/>
      <color rgb="FF0000FF"/>
      <name val="Calibri"/>
    </font>
    <font>
      <u/>
      <sz val="9.0"/>
      <color rgb="FF0000FF"/>
      <name val="Calibri"/>
    </font>
    <font>
      <u/>
      <sz val="9.0"/>
      <color rgb="FF0000FF"/>
    </font>
    <font>
      <u/>
      <sz val="9.0"/>
      <color rgb="FF0000FF"/>
      <name val="Calibri"/>
    </font>
    <font>
      <u/>
      <sz val="9.0"/>
      <color rgb="FF0000FF"/>
      <name val="Calibri"/>
    </font>
    <font>
      <u/>
      <sz val="9.0"/>
      <color rgb="FF0000FF"/>
      <name val="Calibri"/>
    </font>
    <font>
      <u/>
      <sz val="9.0"/>
      <color rgb="FF0000FF"/>
      <name val="Calibri"/>
    </font>
    <font>
      <b/>
      <sz val="11.0"/>
      <color rgb="FFFFFFFF"/>
      <name val="&quot;Aptos Narrow&quot;"/>
    </font>
    <font>
      <sz val="11.0"/>
      <color rgb="FF000000"/>
      <name val="Arial"/>
    </font>
    <font>
      <sz val="11.0"/>
      <color rgb="FF000000"/>
      <name val="&quot;Aptos Narrow&quot;"/>
    </font>
    <font>
      <sz val="11.0"/>
      <color rgb="FF31374A"/>
      <name val="Arial"/>
    </font>
  </fonts>
  <fills count="36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B6D7A8"/>
        <bgColor rgb="FFB6D7A8"/>
      </patternFill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rgb="FF9FC5E8"/>
        <bgColor rgb="FF9FC5E8"/>
      </patternFill>
    </fill>
    <fill>
      <patternFill patternType="solid">
        <fgColor rgb="FF00B050"/>
        <bgColor rgb="FF00B050"/>
      </patternFill>
    </fill>
    <fill>
      <patternFill patternType="solid">
        <fgColor rgb="FF93C47D"/>
        <bgColor rgb="FF93C47D"/>
      </patternFill>
    </fill>
    <fill>
      <patternFill patternType="solid">
        <fgColor rgb="FFFFE599"/>
        <bgColor rgb="FFFFE599"/>
      </patternFill>
    </fill>
    <fill>
      <patternFill patternType="solid">
        <fgColor rgb="FFFFC000"/>
        <bgColor rgb="FFFFC000"/>
      </patternFill>
    </fill>
    <fill>
      <patternFill patternType="solid">
        <fgColor rgb="FFFFD966"/>
        <bgColor rgb="FFFFD966"/>
      </patternFill>
    </fill>
    <fill>
      <patternFill patternType="solid">
        <fgColor rgb="FF70AD47"/>
        <bgColor rgb="FF70AD47"/>
      </patternFill>
    </fill>
    <fill>
      <patternFill patternType="solid">
        <fgColor rgb="FF6D9EEB"/>
        <bgColor rgb="FF6D9EEB"/>
      </patternFill>
    </fill>
    <fill>
      <patternFill patternType="solid">
        <fgColor rgb="FFFF00FF"/>
        <bgColor rgb="FFFF00FF"/>
      </patternFill>
    </fill>
    <fill>
      <patternFill patternType="solid">
        <fgColor rgb="FF4A86E8"/>
        <bgColor rgb="FF4A86E8"/>
      </patternFill>
    </fill>
    <fill>
      <patternFill patternType="solid">
        <fgColor rgb="FFD9D9D9"/>
        <bgColor rgb="FFD9D9D9"/>
      </patternFill>
    </fill>
    <fill>
      <patternFill patternType="solid">
        <fgColor rgb="FFE69138"/>
        <bgColor rgb="FFE69138"/>
      </patternFill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  <fill>
      <patternFill patternType="solid">
        <fgColor rgb="FFCCCCCC"/>
        <bgColor rgb="FFCCCCCC"/>
      </patternFill>
    </fill>
    <fill>
      <patternFill patternType="solid">
        <fgColor rgb="FFF6B26B"/>
        <bgColor rgb="FFF6B26B"/>
      </patternFill>
    </fill>
    <fill>
      <patternFill patternType="solid">
        <fgColor rgb="FFD5A6BD"/>
        <bgColor rgb="FFD5A6BD"/>
      </patternFill>
    </fill>
    <fill>
      <patternFill patternType="solid">
        <fgColor rgb="FFFFF2CC"/>
        <bgColor rgb="FFFFF2CC"/>
      </patternFill>
    </fill>
    <fill>
      <patternFill patternType="solid">
        <fgColor rgb="FF6AA84F"/>
        <bgColor rgb="FF6AA84F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F9CB9C"/>
        <bgColor rgb="FFF9CB9C"/>
      </patternFill>
    </fill>
    <fill>
      <patternFill patternType="solid">
        <fgColor rgb="FFEAD1DC"/>
        <bgColor rgb="FFEAD1DC"/>
      </patternFill>
    </fill>
    <fill>
      <patternFill patternType="solid">
        <fgColor rgb="FFFCE5CD"/>
        <bgColor rgb="FFFCE5CD"/>
      </patternFill>
    </fill>
    <fill>
      <patternFill patternType="solid">
        <fgColor rgb="FFBF9000"/>
        <bgColor rgb="FFBF9000"/>
      </patternFill>
    </fill>
    <fill>
      <patternFill patternType="solid">
        <fgColor rgb="FFEA9999"/>
        <bgColor rgb="FFEA9999"/>
      </patternFill>
    </fill>
    <fill>
      <patternFill patternType="solid">
        <fgColor rgb="FF156082"/>
        <bgColor rgb="FF156082"/>
      </patternFill>
    </fill>
  </fills>
  <borders count="2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top style="thin">
        <color rgb="FF156082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156082"/>
      </left>
      <top style="thin">
        <color rgb="FF156082"/>
      </top>
    </border>
    <border>
      <left style="thin">
        <color rgb="FF000000"/>
      </left>
      <right style="thin">
        <color rgb="FF000000"/>
      </right>
      <top style="thin">
        <color rgb="FF156082"/>
      </top>
      <bottom style="thin">
        <color rgb="FF000000"/>
      </bottom>
    </border>
  </borders>
  <cellStyleXfs count="1">
    <xf borderId="0" fillId="0" fontId="0" numFmtId="0" applyAlignment="1" applyFont="1"/>
  </cellStyleXfs>
  <cellXfs count="583">
    <xf borderId="0" fillId="0" fontId="0" numFmtId="0" xfId="0" applyAlignment="1" applyFont="1">
      <alignment readingOrder="0" shrinkToFit="0" vertical="bottom" wrapText="0"/>
    </xf>
    <xf borderId="0" fillId="2" fontId="1" numFmtId="49" xfId="0" applyAlignment="1" applyFill="1" applyFont="1" applyNumberFormat="1">
      <alignment horizontal="right" readingOrder="0" vertical="center"/>
    </xf>
    <xf borderId="0" fillId="3" fontId="2" numFmtId="49" xfId="0" applyAlignment="1" applyFill="1" applyFont="1" applyNumberFormat="1">
      <alignment horizontal="center" readingOrder="0" vertical="center"/>
    </xf>
    <xf borderId="1" fillId="3" fontId="2" numFmtId="49" xfId="0" applyAlignment="1" applyBorder="1" applyFont="1" applyNumberFormat="1">
      <alignment horizontal="left" readingOrder="0" vertical="center"/>
    </xf>
    <xf borderId="0" fillId="3" fontId="3" numFmtId="49" xfId="0" applyAlignment="1" applyFont="1" applyNumberFormat="1">
      <alignment horizontal="center" readingOrder="0" vertical="center"/>
    </xf>
    <xf borderId="0" fillId="4" fontId="4" numFmtId="0" xfId="0" applyAlignment="1" applyFill="1" applyFont="1">
      <alignment horizontal="center" readingOrder="0" vertical="center"/>
    </xf>
    <xf borderId="0" fillId="0" fontId="5" numFmtId="0" xfId="0" applyAlignment="1" applyFont="1">
      <alignment readingOrder="0" vertical="center"/>
    </xf>
    <xf borderId="0" fillId="0" fontId="5" numFmtId="0" xfId="0" applyAlignment="1" applyFont="1">
      <alignment horizontal="left" shrinkToFit="0" vertical="center" wrapText="1"/>
    </xf>
    <xf borderId="0" fillId="0" fontId="5" numFmtId="0" xfId="0" applyAlignment="1" applyFont="1">
      <alignment horizontal="center" vertical="center"/>
    </xf>
    <xf borderId="0" fillId="0" fontId="5" numFmtId="0" xfId="0" applyAlignment="1" applyFont="1">
      <alignment horizontal="left" readingOrder="0" vertical="center"/>
    </xf>
    <xf borderId="0" fillId="0" fontId="5" numFmtId="0" xfId="0" applyAlignment="1" applyFont="1">
      <alignment horizontal="left" vertical="center"/>
    </xf>
    <xf borderId="1" fillId="3" fontId="5" numFmtId="0" xfId="0" applyAlignment="1" applyBorder="1" applyFont="1">
      <alignment horizontal="center" vertical="center"/>
    </xf>
    <xf borderId="0" fillId="0" fontId="5" numFmtId="164" xfId="0" applyAlignment="1" applyFont="1" applyNumberFormat="1">
      <alignment horizontal="center" vertical="center"/>
    </xf>
    <xf borderId="0" fillId="0" fontId="5" numFmtId="164" xfId="0" applyAlignment="1" applyFont="1" applyNumberFormat="1">
      <alignment horizontal="left" vertical="center"/>
    </xf>
    <xf borderId="0" fillId="3" fontId="5" numFmtId="0" xfId="0" applyAlignment="1" applyFont="1">
      <alignment horizontal="center" readingOrder="0" vertical="center"/>
    </xf>
    <xf borderId="0" fillId="0" fontId="5" numFmtId="165" xfId="0" applyAlignment="1" applyFont="1" applyNumberFormat="1">
      <alignment horizontal="center" vertical="center"/>
    </xf>
    <xf borderId="0" fillId="5" fontId="5" numFmtId="164" xfId="0" applyAlignment="1" applyFill="1" applyFont="1" applyNumberFormat="1">
      <alignment horizontal="center" vertical="center"/>
    </xf>
    <xf borderId="0" fillId="0" fontId="5" numFmtId="0" xfId="0" applyAlignment="1" applyFont="1">
      <alignment horizontal="center" readingOrder="0" vertical="center"/>
    </xf>
    <xf borderId="0" fillId="0" fontId="6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center" vertical="center"/>
    </xf>
    <xf borderId="0" fillId="0" fontId="6" numFmtId="166" xfId="0" applyAlignment="1" applyFont="1" applyNumberFormat="1">
      <alignment horizontal="center" vertical="center"/>
    </xf>
    <xf borderId="1" fillId="6" fontId="6" numFmtId="0" xfId="0" applyAlignment="1" applyBorder="1" applyFill="1" applyFont="1">
      <alignment horizontal="center" shrinkToFit="0" vertical="center" wrapText="1"/>
    </xf>
    <xf borderId="1" fillId="6" fontId="6" numFmtId="167" xfId="0" applyAlignment="1" applyBorder="1" applyFont="1" applyNumberFormat="1">
      <alignment horizontal="center" shrinkToFit="0" vertical="center" wrapText="1"/>
    </xf>
    <xf borderId="0" fillId="0" fontId="5" numFmtId="9" xfId="0" applyAlignment="1" applyFont="1" applyNumberFormat="1">
      <alignment horizontal="center" vertical="center"/>
    </xf>
    <xf borderId="0" fillId="0" fontId="6" numFmtId="4" xfId="0" applyAlignment="1" applyFont="1" applyNumberFormat="1">
      <alignment horizontal="center" vertical="center"/>
    </xf>
    <xf borderId="0" fillId="0" fontId="6" numFmtId="164" xfId="0" applyAlignment="1" applyFont="1" applyNumberFormat="1">
      <alignment horizontal="center" vertical="center"/>
    </xf>
    <xf borderId="0" fillId="0" fontId="5" numFmtId="168" xfId="0" applyAlignment="1" applyFont="1" applyNumberFormat="1">
      <alignment horizontal="center" vertical="center"/>
    </xf>
    <xf borderId="0" fillId="0" fontId="5" numFmtId="168" xfId="0" applyAlignment="1" applyFont="1" applyNumberFormat="1">
      <alignment horizontal="center" readingOrder="0" vertical="center"/>
    </xf>
    <xf borderId="0" fillId="0" fontId="6" numFmtId="0" xfId="0" applyAlignment="1" applyFont="1">
      <alignment horizontal="left" vertical="center"/>
    </xf>
    <xf borderId="0" fillId="0" fontId="6" numFmtId="49" xfId="0" applyAlignment="1" applyFont="1" applyNumberFormat="1">
      <alignment horizontal="left" vertical="center"/>
    </xf>
    <xf borderId="0" fillId="0" fontId="6" numFmtId="169" xfId="0" applyAlignment="1" applyFont="1" applyNumberFormat="1">
      <alignment horizontal="left" vertical="center"/>
    </xf>
    <xf borderId="0" fillId="0" fontId="7" numFmtId="169" xfId="0" applyAlignment="1" applyFont="1" applyNumberFormat="1">
      <alignment horizontal="center" vertical="center"/>
    </xf>
    <xf borderId="0" fillId="0" fontId="7" numFmtId="0" xfId="0" applyAlignment="1" applyFont="1">
      <alignment vertical="center"/>
    </xf>
    <xf borderId="0" fillId="6" fontId="7" numFmtId="0" xfId="0" applyAlignment="1" applyFont="1">
      <alignment horizontal="right" readingOrder="0" vertical="center"/>
    </xf>
    <xf borderId="0" fillId="6" fontId="8" numFmtId="0" xfId="0" applyAlignment="1" applyFont="1">
      <alignment horizontal="left" readingOrder="0" vertical="center"/>
    </xf>
    <xf borderId="1" fillId="0" fontId="8" numFmtId="0" xfId="0" applyAlignment="1" applyBorder="1" applyFont="1">
      <alignment horizontal="left" readingOrder="0" vertical="center"/>
    </xf>
    <xf borderId="1" fillId="0" fontId="7" numFmtId="0" xfId="0" applyAlignment="1" applyBorder="1" applyFont="1">
      <alignment vertical="center"/>
    </xf>
    <xf borderId="0" fillId="0" fontId="8" numFmtId="10" xfId="0" applyAlignment="1" applyFont="1" applyNumberFormat="1">
      <alignment horizontal="left" readingOrder="0" vertical="center"/>
    </xf>
    <xf borderId="1" fillId="7" fontId="9" numFmtId="0" xfId="0" applyAlignment="1" applyBorder="1" applyFill="1" applyFont="1">
      <alignment readingOrder="0" vertical="center"/>
    </xf>
    <xf borderId="0" fillId="0" fontId="5" numFmtId="0" xfId="0" applyAlignment="1" applyFont="1">
      <alignment horizontal="left" readingOrder="0" shrinkToFit="0" vertical="center" wrapText="1"/>
    </xf>
    <xf borderId="0" fillId="8" fontId="10" numFmtId="0" xfId="0" applyAlignment="1" applyFill="1" applyFont="1">
      <alignment horizontal="center" vertical="center"/>
    </xf>
    <xf borderId="1" fillId="3" fontId="5" numFmtId="0" xfId="0" applyAlignment="1" applyBorder="1" applyFont="1">
      <alignment horizontal="center" readingOrder="0" vertical="center"/>
    </xf>
    <xf borderId="0" fillId="0" fontId="7" numFmtId="10" xfId="0" applyAlignment="1" applyFont="1" applyNumberFormat="1">
      <alignment vertical="center"/>
    </xf>
    <xf borderId="0" fillId="0" fontId="5" numFmtId="164" xfId="0" applyAlignment="1" applyFont="1" applyNumberFormat="1">
      <alignment horizontal="center" readingOrder="0" vertical="center"/>
    </xf>
    <xf borderId="0" fillId="0" fontId="6" numFmtId="0" xfId="0" applyAlignment="1" applyFont="1">
      <alignment horizontal="center" readingOrder="0" vertical="center"/>
    </xf>
    <xf borderId="0" fillId="0" fontId="5" numFmtId="0" xfId="0" applyAlignment="1" applyFont="1">
      <alignment horizontal="center" readingOrder="0" vertical="center"/>
    </xf>
    <xf borderId="0" fillId="4" fontId="5" numFmtId="168" xfId="0" applyAlignment="1" applyFont="1" applyNumberFormat="1">
      <alignment horizontal="center" vertical="center"/>
    </xf>
    <xf borderId="0" fillId="0" fontId="5" numFmtId="170" xfId="0" applyAlignment="1" applyFont="1" applyNumberFormat="1">
      <alignment horizontal="center" vertical="center"/>
    </xf>
    <xf borderId="0" fillId="0" fontId="6" numFmtId="0" xfId="0" applyAlignment="1" applyFont="1">
      <alignment horizontal="left" readingOrder="0" vertical="center"/>
    </xf>
    <xf borderId="0" fillId="0" fontId="6" numFmtId="49" xfId="0" applyAlignment="1" applyFont="1" applyNumberFormat="1">
      <alignment horizontal="left" readingOrder="0" vertical="center"/>
    </xf>
    <xf borderId="0" fillId="0" fontId="6" numFmtId="169" xfId="0" applyAlignment="1" applyFont="1" applyNumberFormat="1">
      <alignment horizontal="left" readingOrder="0" vertical="center"/>
    </xf>
    <xf borderId="0" fillId="9" fontId="6" numFmtId="0" xfId="0" applyAlignment="1" applyFill="1" applyFont="1">
      <alignment horizontal="center" readingOrder="0" vertical="center"/>
    </xf>
    <xf borderId="0" fillId="9" fontId="11" numFmtId="0" xfId="0" applyAlignment="1" applyFont="1">
      <alignment horizontal="center" vertical="center"/>
    </xf>
    <xf borderId="1" fillId="0" fontId="11" numFmtId="0" xfId="0" applyAlignment="1" applyBorder="1" applyFont="1">
      <alignment horizontal="center" vertical="center"/>
    </xf>
    <xf borderId="0" fillId="0" fontId="5" numFmtId="0" xfId="0" applyAlignment="1" applyFont="1">
      <alignment vertical="center"/>
    </xf>
    <xf borderId="0" fillId="9" fontId="6" numFmtId="0" xfId="0" applyAlignment="1" applyFont="1">
      <alignment horizontal="center" readingOrder="0" shrinkToFit="0" vertical="center" wrapText="1"/>
    </xf>
    <xf borderId="1" fillId="3" fontId="12" numFmtId="0" xfId="0" applyAlignment="1" applyBorder="1" applyFont="1">
      <alignment horizontal="center" readingOrder="0" vertical="center"/>
    </xf>
    <xf borderId="0" fillId="9" fontId="6" numFmtId="168" xfId="0" applyAlignment="1" applyFont="1" applyNumberFormat="1">
      <alignment horizontal="center" vertical="center"/>
    </xf>
    <xf borderId="0" fillId="5" fontId="5" numFmtId="170" xfId="0" applyAlignment="1" applyFont="1" applyNumberFormat="1">
      <alignment horizontal="center" shrinkToFit="0" vertical="center" wrapText="0"/>
    </xf>
    <xf borderId="2" fillId="5" fontId="5" numFmtId="170" xfId="0" applyAlignment="1" applyBorder="1" applyFont="1" applyNumberFormat="1">
      <alignment horizontal="center" shrinkToFit="0" vertical="center" wrapText="0"/>
    </xf>
    <xf borderId="0" fillId="9" fontId="6" numFmtId="171" xfId="0" applyAlignment="1" applyFont="1" applyNumberFormat="1">
      <alignment horizontal="center" vertical="center"/>
    </xf>
    <xf borderId="0" fillId="0" fontId="7" numFmtId="0" xfId="0" applyAlignment="1" applyFont="1">
      <alignment readingOrder="0" vertical="center"/>
    </xf>
    <xf borderId="3" fillId="10" fontId="13" numFmtId="0" xfId="0" applyAlignment="1" applyBorder="1" applyFill="1" applyFont="1">
      <alignment horizontal="center" readingOrder="0" shrinkToFit="0" vertical="center" wrapText="1"/>
    </xf>
    <xf borderId="3" fillId="10" fontId="10" numFmtId="0" xfId="0" applyAlignment="1" applyBorder="1" applyFont="1">
      <alignment horizontal="center" readingOrder="0" shrinkToFit="0" vertical="center" wrapText="1"/>
    </xf>
    <xf borderId="1" fillId="11" fontId="13" numFmtId="0" xfId="0" applyAlignment="1" applyBorder="1" applyFill="1" applyFont="1">
      <alignment horizontal="center" readingOrder="0" shrinkToFit="0" vertical="center" wrapText="1"/>
    </xf>
    <xf borderId="3" fillId="10" fontId="13" numFmtId="0" xfId="0" applyAlignment="1" applyBorder="1" applyFont="1">
      <alignment horizontal="center" readingOrder="0" vertical="center"/>
    </xf>
    <xf borderId="3" fillId="10" fontId="13" numFmtId="0" xfId="0" applyAlignment="1" applyBorder="1" applyFont="1">
      <alignment readingOrder="0" shrinkToFit="0" vertical="center" wrapText="1"/>
    </xf>
    <xf borderId="3" fillId="12" fontId="13" numFmtId="0" xfId="0" applyAlignment="1" applyBorder="1" applyFill="1" applyFont="1">
      <alignment horizontal="center" readingOrder="0" shrinkToFit="0" vertical="center" wrapText="1"/>
    </xf>
    <xf borderId="3" fillId="13" fontId="13" numFmtId="0" xfId="0" applyAlignment="1" applyBorder="1" applyFill="1" applyFont="1">
      <alignment horizontal="center" readingOrder="0" shrinkToFit="0" vertical="center" wrapText="1"/>
    </xf>
    <xf borderId="3" fillId="7" fontId="13" numFmtId="0" xfId="0" applyAlignment="1" applyBorder="1" applyFont="1">
      <alignment horizontal="center" readingOrder="0" shrinkToFit="0" vertical="center" wrapText="1"/>
    </xf>
    <xf borderId="3" fillId="14" fontId="13" numFmtId="0" xfId="0" applyAlignment="1" applyBorder="1" applyFill="1" applyFont="1">
      <alignment horizontal="center" readingOrder="0" shrinkToFit="0" vertical="center" wrapText="1"/>
    </xf>
    <xf borderId="3" fillId="3" fontId="13" numFmtId="0" xfId="0" applyAlignment="1" applyBorder="1" applyFont="1">
      <alignment horizontal="center" readingOrder="0" vertical="center"/>
    </xf>
    <xf borderId="3" fillId="14" fontId="13" numFmtId="165" xfId="0" applyAlignment="1" applyBorder="1" applyFont="1" applyNumberFormat="1">
      <alignment horizontal="center" readingOrder="0" shrinkToFit="0" vertical="center" wrapText="1"/>
    </xf>
    <xf borderId="3" fillId="14" fontId="14" numFmtId="0" xfId="0" applyAlignment="1" applyBorder="1" applyFont="1">
      <alignment horizontal="center" readingOrder="0" shrinkToFit="0" vertical="center" wrapText="1"/>
    </xf>
    <xf borderId="3" fillId="14" fontId="13" numFmtId="0" xfId="0" applyAlignment="1" applyBorder="1" applyFont="1">
      <alignment horizontal="center" readingOrder="0" vertical="center"/>
    </xf>
    <xf borderId="3" fillId="2" fontId="13" numFmtId="0" xfId="0" applyAlignment="1" applyBorder="1" applyFont="1">
      <alignment horizontal="center" readingOrder="0" shrinkToFit="0" vertical="center" wrapText="1"/>
    </xf>
    <xf borderId="3" fillId="15" fontId="13" numFmtId="0" xfId="0" applyAlignment="1" applyBorder="1" applyFill="1" applyFont="1">
      <alignment horizontal="center" readingOrder="0" shrinkToFit="0" vertical="center" wrapText="1"/>
    </xf>
    <xf borderId="3" fillId="16" fontId="13" numFmtId="0" xfId="0" applyAlignment="1" applyBorder="1" applyFill="1" applyFont="1">
      <alignment horizontal="center" readingOrder="0" shrinkToFit="0" vertical="center" wrapText="1"/>
    </xf>
    <xf borderId="3" fillId="17" fontId="13" numFmtId="0" xfId="0" applyAlignment="1" applyBorder="1" applyFill="1" applyFont="1">
      <alignment horizontal="center" readingOrder="0" shrinkToFit="0" vertical="center" wrapText="1"/>
    </xf>
    <xf borderId="3" fillId="4" fontId="6" numFmtId="0" xfId="0" applyAlignment="1" applyBorder="1" applyFont="1">
      <alignment horizontal="center" readingOrder="0" shrinkToFit="0" vertical="center" wrapText="1"/>
    </xf>
    <xf borderId="3" fillId="4" fontId="13" numFmtId="0" xfId="0" applyAlignment="1" applyBorder="1" applyFont="1">
      <alignment horizontal="center" readingOrder="0" shrinkToFit="0" vertical="center" wrapText="1"/>
    </xf>
    <xf borderId="3" fillId="3" fontId="13" numFmtId="0" xfId="0" applyAlignment="1" applyBorder="1" applyFont="1">
      <alignment horizontal="center" readingOrder="0" shrinkToFit="0" vertical="center" wrapText="1"/>
    </xf>
    <xf borderId="3" fillId="18" fontId="13" numFmtId="168" xfId="0" applyAlignment="1" applyBorder="1" applyFill="1" applyFont="1" applyNumberFormat="1">
      <alignment horizontal="center" readingOrder="0" shrinkToFit="0" vertical="center" wrapText="1"/>
    </xf>
    <xf borderId="3" fillId="10" fontId="15" numFmtId="0" xfId="0" applyAlignment="1" applyBorder="1" applyFont="1">
      <alignment horizontal="center" readingOrder="0" shrinkToFit="0" vertical="center" wrapText="1"/>
    </xf>
    <xf borderId="3" fillId="10" fontId="13" numFmtId="49" xfId="0" applyAlignment="1" applyBorder="1" applyFont="1" applyNumberFormat="1">
      <alignment horizontal="left" readingOrder="0" shrinkToFit="0" vertical="center" wrapText="1"/>
    </xf>
    <xf borderId="0" fillId="10" fontId="13" numFmtId="0" xfId="0" applyAlignment="1" applyFont="1">
      <alignment horizontal="left" readingOrder="0" shrinkToFit="0" vertical="center" wrapText="1"/>
    </xf>
    <xf borderId="0" fillId="4" fontId="16" numFmtId="0" xfId="0" applyAlignment="1" applyFont="1">
      <alignment horizontal="center" shrinkToFit="0" vertical="center" wrapText="1"/>
    </xf>
    <xf borderId="0" fillId="0" fontId="8" numFmtId="0" xfId="0" applyAlignment="1" applyFont="1">
      <alignment readingOrder="0" shrinkToFit="0" vertical="center" wrapText="1"/>
    </xf>
    <xf borderId="0" fillId="0" fontId="8" numFmtId="0" xfId="0" applyAlignment="1" applyFont="1">
      <alignment shrinkToFit="0" vertical="center" wrapText="1"/>
    </xf>
    <xf borderId="2" fillId="0" fontId="5" numFmtId="0" xfId="0" applyAlignment="1" applyBorder="1" applyFont="1">
      <alignment horizontal="right" readingOrder="0" shrinkToFit="0" vertical="center" wrapText="0"/>
    </xf>
    <xf borderId="2" fillId="0" fontId="5" numFmtId="0" xfId="0" applyAlignment="1" applyBorder="1" applyFont="1">
      <alignment horizontal="center" readingOrder="0" shrinkToFit="0" vertical="center" wrapText="0"/>
    </xf>
    <xf borderId="1" fillId="0" fontId="5" numFmtId="0" xfId="0" applyAlignment="1" applyBorder="1" applyFont="1">
      <alignment horizontal="center" readingOrder="0" shrinkToFit="0" vertical="center" wrapText="0"/>
    </xf>
    <xf borderId="2" fillId="0" fontId="5" numFmtId="0" xfId="0" applyAlignment="1" applyBorder="1" applyFont="1">
      <alignment readingOrder="0" shrinkToFit="0" vertical="center" wrapText="0"/>
    </xf>
    <xf borderId="2" fillId="5" fontId="5" numFmtId="0" xfId="0" applyAlignment="1" applyBorder="1" applyFont="1">
      <alignment readingOrder="0" shrinkToFit="0" vertical="center" wrapText="0"/>
    </xf>
    <xf borderId="2" fillId="5" fontId="5" numFmtId="0" xfId="0" applyAlignment="1" applyBorder="1" applyFont="1">
      <alignment horizontal="left" readingOrder="0" shrinkToFit="0" vertical="center" wrapText="0"/>
    </xf>
    <xf borderId="1" fillId="0" fontId="5" numFmtId="0" xfId="0" applyAlignment="1" applyBorder="1" applyFont="1">
      <alignment horizontal="left" readingOrder="0" shrinkToFit="0" vertical="center" wrapText="1"/>
    </xf>
    <xf borderId="2" fillId="5" fontId="5" numFmtId="0" xfId="0" applyAlignment="1" applyBorder="1" applyFont="1">
      <alignment horizontal="left" readingOrder="0" shrinkToFit="0" vertical="center" wrapText="1"/>
    </xf>
    <xf borderId="2" fillId="19" fontId="5" numFmtId="0" xfId="0" applyAlignment="1" applyBorder="1" applyFill="1" applyFont="1">
      <alignment horizontal="left" readingOrder="0" shrinkToFit="0" vertical="center" wrapText="0"/>
    </xf>
    <xf borderId="1" fillId="0" fontId="5" numFmtId="0" xfId="0" applyAlignment="1" applyBorder="1" applyFont="1">
      <alignment readingOrder="0" vertical="center"/>
    </xf>
    <xf borderId="2" fillId="0" fontId="5" numFmtId="0" xfId="0" applyAlignment="1" applyBorder="1" applyFont="1">
      <alignment horizontal="center" readingOrder="0" shrinkToFit="0" vertical="center" wrapText="0"/>
    </xf>
    <xf borderId="2" fillId="0" fontId="5" numFmtId="164" xfId="0" applyAlignment="1" applyBorder="1" applyFont="1" applyNumberFormat="1">
      <alignment horizontal="center" readingOrder="0" shrinkToFit="0" vertical="center" wrapText="0"/>
    </xf>
    <xf borderId="2" fillId="0" fontId="5" numFmtId="0" xfId="0" applyAlignment="1" applyBorder="1" applyFont="1">
      <alignment horizontal="left" readingOrder="0" vertical="center"/>
    </xf>
    <xf borderId="1" fillId="0" fontId="5" numFmtId="165" xfId="0" applyAlignment="1" applyBorder="1" applyFont="1" applyNumberFormat="1">
      <alignment horizontal="center" readingOrder="0" vertical="center"/>
    </xf>
    <xf borderId="2" fillId="20" fontId="5" numFmtId="0" xfId="0" applyAlignment="1" applyBorder="1" applyFill="1" applyFont="1">
      <alignment horizontal="center" readingOrder="0" shrinkToFit="0" vertical="center" wrapText="0"/>
    </xf>
    <xf borderId="3" fillId="0" fontId="5" numFmtId="0" xfId="0" applyAlignment="1" applyBorder="1" applyFont="1">
      <alignment horizontal="center" readingOrder="0" shrinkToFit="0" vertical="center" wrapText="0"/>
    </xf>
    <xf borderId="3" fillId="0" fontId="5" numFmtId="49" xfId="0" applyAlignment="1" applyBorder="1" applyFont="1" applyNumberFormat="1">
      <alignment horizontal="center" readingOrder="0" shrinkToFit="0" vertical="center" wrapText="0"/>
    </xf>
    <xf borderId="3" fillId="0" fontId="5" numFmtId="165" xfId="0" applyAlignment="1" applyBorder="1" applyFont="1" applyNumberFormat="1">
      <alignment horizontal="center" readingOrder="0" shrinkToFit="0" vertical="center" wrapText="0"/>
    </xf>
    <xf borderId="2" fillId="0" fontId="5" numFmtId="172" xfId="0" applyAlignment="1" applyBorder="1" applyFont="1" applyNumberFormat="1">
      <alignment horizontal="center" readingOrder="0" shrinkToFit="0" vertical="center" wrapText="0"/>
    </xf>
    <xf borderId="1" fillId="5" fontId="17" numFmtId="0" xfId="0" applyAlignment="1" applyBorder="1" applyFont="1">
      <alignment horizontal="center" readingOrder="0" vertical="center"/>
    </xf>
    <xf borderId="3" fillId="0" fontId="5" numFmtId="49" xfId="0" applyAlignment="1" applyBorder="1" applyFont="1" applyNumberFormat="1">
      <alignment horizontal="center" readingOrder="0" vertical="center"/>
    </xf>
    <xf borderId="3" fillId="0" fontId="5" numFmtId="0" xfId="0" applyAlignment="1" applyBorder="1" applyFont="1">
      <alignment horizontal="center" readingOrder="0" vertical="center"/>
    </xf>
    <xf borderId="2" fillId="0" fontId="5" numFmtId="173" xfId="0" applyAlignment="1" applyBorder="1" applyFont="1" applyNumberFormat="1">
      <alignment horizontal="center" readingOrder="0" vertical="center"/>
    </xf>
    <xf borderId="3" fillId="21" fontId="5" numFmtId="3" xfId="0" applyAlignment="1" applyBorder="1" applyFill="1" applyFont="1" applyNumberFormat="1">
      <alignment horizontal="center" vertical="center"/>
    </xf>
    <xf borderId="1" fillId="22" fontId="5" numFmtId="9" xfId="0" applyAlignment="1" applyBorder="1" applyFill="1" applyFont="1" applyNumberFormat="1">
      <alignment horizontal="right" vertical="center"/>
    </xf>
    <xf borderId="3" fillId="0" fontId="5" numFmtId="9" xfId="0" applyAlignment="1" applyBorder="1" applyFont="1" applyNumberFormat="1">
      <alignment horizontal="center" readingOrder="0" shrinkToFit="0" vertical="center" wrapText="0"/>
    </xf>
    <xf borderId="2" fillId="5" fontId="5" numFmtId="164" xfId="0" applyAlignment="1" applyBorder="1" applyFont="1" applyNumberFormat="1">
      <alignment horizontal="center" readingOrder="0" shrinkToFit="0" vertical="center" wrapText="0"/>
    </xf>
    <xf borderId="2" fillId="5" fontId="6" numFmtId="164" xfId="0" applyAlignment="1" applyBorder="1" applyFont="1" applyNumberFormat="1">
      <alignment horizontal="center" readingOrder="0" shrinkToFit="0" vertical="center" wrapText="0"/>
    </xf>
    <xf borderId="2" fillId="0" fontId="5" numFmtId="49" xfId="0" applyAlignment="1" applyBorder="1" applyFont="1" applyNumberFormat="1">
      <alignment horizontal="center" readingOrder="0" shrinkToFit="0" vertical="center" wrapText="0"/>
    </xf>
    <xf borderId="2" fillId="0" fontId="18" numFmtId="49" xfId="0" applyAlignment="1" applyBorder="1" applyFont="1" applyNumberFormat="1">
      <alignment horizontal="center" readingOrder="0" shrinkToFit="0" vertical="center" wrapText="0"/>
    </xf>
    <xf borderId="2" fillId="0" fontId="5" numFmtId="168" xfId="0" applyAlignment="1" applyBorder="1" applyFont="1" applyNumberFormat="1">
      <alignment horizontal="center" readingOrder="0" shrinkToFit="0" vertical="center" wrapText="0"/>
    </xf>
    <xf borderId="2" fillId="23" fontId="5" numFmtId="49" xfId="0" applyAlignment="1" applyBorder="1" applyFill="1" applyFont="1" applyNumberFormat="1">
      <alignment horizontal="center" shrinkToFit="0" vertical="center" wrapText="0"/>
    </xf>
    <xf borderId="2" fillId="21" fontId="5" numFmtId="49" xfId="0" applyAlignment="1" applyBorder="1" applyFont="1" applyNumberFormat="1">
      <alignment horizontal="center" shrinkToFit="0" vertical="center" wrapText="0"/>
    </xf>
    <xf borderId="2" fillId="0" fontId="5" numFmtId="4" xfId="0" applyAlignment="1" applyBorder="1" applyFont="1" applyNumberFormat="1">
      <alignment horizontal="center" readingOrder="0" shrinkToFit="0" vertical="center" wrapText="0"/>
    </xf>
    <xf borderId="2" fillId="0" fontId="5" numFmtId="49" xfId="0" applyAlignment="1" applyBorder="1" applyFont="1" applyNumberFormat="1">
      <alignment readingOrder="0" shrinkToFit="0" vertical="center" wrapText="0"/>
    </xf>
    <xf borderId="1" fillId="5" fontId="5" numFmtId="49" xfId="0" applyAlignment="1" applyBorder="1" applyFont="1" applyNumberFormat="1">
      <alignment horizontal="center" readingOrder="0" shrinkToFit="0" vertical="center" wrapText="0"/>
    </xf>
    <xf borderId="1" fillId="5" fontId="5" numFmtId="49" xfId="0" applyAlignment="1" applyBorder="1" applyFont="1" applyNumberFormat="1">
      <alignment horizontal="center" readingOrder="0" shrinkToFit="0" vertical="center" wrapText="0"/>
    </xf>
    <xf borderId="2" fillId="5" fontId="5" numFmtId="49" xfId="0" applyAlignment="1" applyBorder="1" applyFont="1" applyNumberFormat="1">
      <alignment horizontal="center" readingOrder="0" shrinkToFit="0" vertical="center" wrapText="0"/>
    </xf>
    <xf borderId="2" fillId="21" fontId="5" numFmtId="49" xfId="0" applyAlignment="1" applyBorder="1" applyFont="1" applyNumberFormat="1">
      <alignment horizontal="center" readingOrder="0" shrinkToFit="0" vertical="center" wrapText="0"/>
    </xf>
    <xf borderId="3" fillId="5" fontId="5" numFmtId="0" xfId="0" applyAlignment="1" applyBorder="1" applyFont="1">
      <alignment horizontal="left" readingOrder="0" shrinkToFit="0" vertical="center" wrapText="0"/>
    </xf>
    <xf borderId="1" fillId="5" fontId="5" numFmtId="169" xfId="0" applyAlignment="1" applyBorder="1" applyFont="1" applyNumberFormat="1">
      <alignment horizontal="center" readingOrder="0" shrinkToFit="0" vertical="center" wrapText="0"/>
    </xf>
    <xf borderId="0" fillId="5" fontId="19" numFmtId="0" xfId="0" applyAlignment="1" applyFont="1">
      <alignment readingOrder="0" vertical="center"/>
    </xf>
    <xf borderId="0" fillId="0" fontId="19" numFmtId="0" xfId="0" applyAlignment="1" applyFont="1">
      <alignment vertical="center"/>
    </xf>
    <xf borderId="2" fillId="0" fontId="5" numFmtId="0" xfId="0" applyAlignment="1" applyBorder="1" applyFont="1">
      <alignment horizontal="center" shrinkToFit="0" vertical="center" wrapText="0"/>
    </xf>
    <xf borderId="1" fillId="0" fontId="5" numFmtId="174" xfId="0" applyAlignment="1" applyBorder="1" applyFont="1" applyNumberFormat="1">
      <alignment horizontal="center" readingOrder="0" vertical="center"/>
    </xf>
    <xf borderId="3" fillId="0" fontId="5" numFmtId="165" xfId="0" applyAlignment="1" applyBorder="1" applyFont="1" applyNumberFormat="1">
      <alignment horizontal="center" readingOrder="0" shrinkToFit="0" vertical="center" wrapText="0"/>
    </xf>
    <xf borderId="3" fillId="0" fontId="5" numFmtId="0" xfId="0" applyAlignment="1" applyBorder="1" applyFont="1">
      <alignment horizontal="center" readingOrder="0" shrinkToFit="0" vertical="center" wrapText="1"/>
    </xf>
    <xf borderId="2" fillId="5" fontId="5" numFmtId="49" xfId="0" applyAlignment="1" applyBorder="1" applyFont="1" applyNumberFormat="1">
      <alignment horizontal="center" readingOrder="0" shrinkToFit="0" vertical="center" wrapText="0"/>
    </xf>
    <xf borderId="3" fillId="4" fontId="5" numFmtId="49" xfId="0" applyAlignment="1" applyBorder="1" applyFont="1" applyNumberFormat="1">
      <alignment horizontal="center" vertical="center"/>
    </xf>
    <xf borderId="3" fillId="0" fontId="20" numFmtId="165" xfId="0" applyAlignment="1" applyBorder="1" applyFont="1" applyNumberFormat="1">
      <alignment vertical="center"/>
    </xf>
    <xf borderId="3" fillId="0" fontId="5" numFmtId="0" xfId="0" applyAlignment="1" applyBorder="1" applyFont="1">
      <alignment horizontal="center" vertical="center"/>
    </xf>
    <xf borderId="2" fillId="0" fontId="21" numFmtId="0" xfId="0" applyAlignment="1" applyBorder="1" applyFont="1">
      <alignment horizontal="right" readingOrder="0" shrinkToFit="0" vertical="center" wrapText="0"/>
    </xf>
    <xf borderId="2" fillId="0" fontId="21" numFmtId="0" xfId="0" applyAlignment="1" applyBorder="1" applyFont="1">
      <alignment horizontal="center" readingOrder="0" shrinkToFit="0" vertical="center" wrapText="0"/>
    </xf>
    <xf borderId="1" fillId="0" fontId="21" numFmtId="0" xfId="0" applyAlignment="1" applyBorder="1" applyFont="1">
      <alignment horizontal="center" readingOrder="0" shrinkToFit="0" vertical="center" wrapText="0"/>
    </xf>
    <xf borderId="2" fillId="4" fontId="21" numFmtId="0" xfId="0" applyAlignment="1" applyBorder="1" applyFont="1">
      <alignment readingOrder="0" shrinkToFit="0" vertical="center" wrapText="0"/>
    </xf>
    <xf borderId="2" fillId="5" fontId="21" numFmtId="0" xfId="0" applyAlignment="1" applyBorder="1" applyFont="1">
      <alignment readingOrder="0" shrinkToFit="0" vertical="center" wrapText="0"/>
    </xf>
    <xf borderId="2" fillId="5" fontId="21" numFmtId="0" xfId="0" applyAlignment="1" applyBorder="1" applyFont="1">
      <alignment horizontal="left" readingOrder="0" shrinkToFit="0" vertical="center" wrapText="0"/>
    </xf>
    <xf borderId="1" fillId="0" fontId="21" numFmtId="0" xfId="0" applyAlignment="1" applyBorder="1" applyFont="1">
      <alignment horizontal="left" readingOrder="0" shrinkToFit="0" vertical="center" wrapText="1"/>
    </xf>
    <xf borderId="2" fillId="5" fontId="21" numFmtId="0" xfId="0" applyAlignment="1" applyBorder="1" applyFont="1">
      <alignment horizontal="left" readingOrder="0" shrinkToFit="0" vertical="center" wrapText="1"/>
    </xf>
    <xf borderId="2" fillId="19" fontId="21" numFmtId="0" xfId="0" applyAlignment="1" applyBorder="1" applyFont="1">
      <alignment horizontal="left" readingOrder="0" shrinkToFit="0" vertical="center" wrapText="0"/>
    </xf>
    <xf borderId="1" fillId="0" fontId="21" numFmtId="0" xfId="0" applyAlignment="1" applyBorder="1" applyFont="1">
      <alignment readingOrder="0" vertical="center"/>
    </xf>
    <xf borderId="2" fillId="0" fontId="21" numFmtId="164" xfId="0" applyAlignment="1" applyBorder="1" applyFont="1" applyNumberFormat="1">
      <alignment horizontal="center" readingOrder="0" shrinkToFit="0" vertical="center" wrapText="0"/>
    </xf>
    <xf borderId="2" fillId="0" fontId="21" numFmtId="0" xfId="0" applyAlignment="1" applyBorder="1" applyFont="1">
      <alignment horizontal="left" readingOrder="0" vertical="center"/>
    </xf>
    <xf borderId="1" fillId="0" fontId="21" numFmtId="0" xfId="0" applyAlignment="1" applyBorder="1" applyFont="1">
      <alignment horizontal="center" readingOrder="0" vertical="center"/>
    </xf>
    <xf borderId="3" fillId="0" fontId="21" numFmtId="0" xfId="0" applyAlignment="1" applyBorder="1" applyFont="1">
      <alignment horizontal="center" readingOrder="0" shrinkToFit="0" vertical="center" wrapText="0"/>
    </xf>
    <xf borderId="3" fillId="0" fontId="21" numFmtId="165" xfId="0" applyAlignment="1" applyBorder="1" applyFont="1" applyNumberFormat="1">
      <alignment horizontal="center" readingOrder="0" shrinkToFit="0" vertical="center" wrapText="0"/>
    </xf>
    <xf borderId="3" fillId="0" fontId="21" numFmtId="49" xfId="0" applyAlignment="1" applyBorder="1" applyFont="1" applyNumberFormat="1">
      <alignment horizontal="center" readingOrder="0" shrinkToFit="0" vertical="center" wrapText="0"/>
    </xf>
    <xf borderId="3" fillId="0" fontId="21" numFmtId="165" xfId="0" applyAlignment="1" applyBorder="1" applyFont="1" applyNumberFormat="1">
      <alignment horizontal="center" readingOrder="0" shrinkToFit="0" vertical="center" wrapText="0"/>
    </xf>
    <xf borderId="2" fillId="0" fontId="21" numFmtId="172" xfId="0" applyAlignment="1" applyBorder="1" applyFont="1" applyNumberFormat="1">
      <alignment horizontal="center" readingOrder="0" shrinkToFit="0" vertical="center" wrapText="0"/>
    </xf>
    <xf borderId="1" fillId="5" fontId="22" numFmtId="0" xfId="0" applyAlignment="1" applyBorder="1" applyFont="1">
      <alignment horizontal="center" readingOrder="0" vertical="center"/>
    </xf>
    <xf borderId="3" fillId="0" fontId="21" numFmtId="49" xfId="0" applyAlignment="1" applyBorder="1" applyFont="1" applyNumberFormat="1">
      <alignment horizontal="center" readingOrder="0" vertical="center"/>
    </xf>
    <xf borderId="3" fillId="0" fontId="21" numFmtId="0" xfId="0" applyAlignment="1" applyBorder="1" applyFont="1">
      <alignment horizontal="center" readingOrder="0" vertical="center"/>
    </xf>
    <xf borderId="2" fillId="0" fontId="21" numFmtId="173" xfId="0" applyAlignment="1" applyBorder="1" applyFont="1" applyNumberFormat="1">
      <alignment horizontal="center" readingOrder="0" vertical="center"/>
    </xf>
    <xf borderId="3" fillId="21" fontId="21" numFmtId="3" xfId="0" applyAlignment="1" applyBorder="1" applyFont="1" applyNumberFormat="1">
      <alignment horizontal="center" vertical="center"/>
    </xf>
    <xf borderId="1" fillId="22" fontId="21" numFmtId="9" xfId="0" applyAlignment="1" applyBorder="1" applyFont="1" applyNumberFormat="1">
      <alignment horizontal="right" vertical="center"/>
    </xf>
    <xf borderId="2" fillId="5" fontId="21" numFmtId="164" xfId="0" applyAlignment="1" applyBorder="1" applyFont="1" applyNumberFormat="1">
      <alignment horizontal="center" readingOrder="0" shrinkToFit="0" vertical="center" wrapText="0"/>
    </xf>
    <xf borderId="2" fillId="5" fontId="23" numFmtId="164" xfId="0" applyAlignment="1" applyBorder="1" applyFont="1" applyNumberFormat="1">
      <alignment horizontal="center" readingOrder="0" shrinkToFit="0" vertical="center" wrapText="0"/>
    </xf>
    <xf borderId="2" fillId="0" fontId="21" numFmtId="49" xfId="0" applyAlignment="1" applyBorder="1" applyFont="1" applyNumberFormat="1">
      <alignment horizontal="center" readingOrder="0" shrinkToFit="0" vertical="center" wrapText="0"/>
    </xf>
    <xf borderId="2" fillId="0" fontId="21" numFmtId="49" xfId="0" applyAlignment="1" applyBorder="1" applyFont="1" applyNumberFormat="1">
      <alignment horizontal="center" readingOrder="0" shrinkToFit="0" vertical="center" wrapText="0"/>
    </xf>
    <xf borderId="2" fillId="0" fontId="21" numFmtId="168" xfId="0" applyAlignment="1" applyBorder="1" applyFont="1" applyNumberFormat="1">
      <alignment horizontal="center" readingOrder="0" shrinkToFit="0" vertical="center" wrapText="0"/>
    </xf>
    <xf borderId="2" fillId="23" fontId="21" numFmtId="49" xfId="0" applyAlignment="1" applyBorder="1" applyFont="1" applyNumberFormat="1">
      <alignment horizontal="center" shrinkToFit="0" vertical="center" wrapText="0"/>
    </xf>
    <xf borderId="2" fillId="21" fontId="21" numFmtId="49" xfId="0" applyAlignment="1" applyBorder="1" applyFont="1" applyNumberFormat="1">
      <alignment horizontal="center" shrinkToFit="0" vertical="center" wrapText="0"/>
    </xf>
    <xf borderId="2" fillId="0" fontId="21" numFmtId="4" xfId="0" applyAlignment="1" applyBorder="1" applyFont="1" applyNumberFormat="1">
      <alignment horizontal="center" readingOrder="0" shrinkToFit="0" vertical="center" wrapText="0"/>
    </xf>
    <xf borderId="2" fillId="0" fontId="21" numFmtId="0" xfId="0" applyAlignment="1" applyBorder="1" applyFont="1">
      <alignment readingOrder="0" shrinkToFit="0" vertical="center" wrapText="0"/>
    </xf>
    <xf borderId="2" fillId="0" fontId="21" numFmtId="49" xfId="0" applyAlignment="1" applyBorder="1" applyFont="1" applyNumberFormat="1">
      <alignment readingOrder="0" shrinkToFit="0" vertical="center" wrapText="0"/>
    </xf>
    <xf borderId="1" fillId="5" fontId="21" numFmtId="49" xfId="0" applyAlignment="1" applyBorder="1" applyFont="1" applyNumberFormat="1">
      <alignment horizontal="center" readingOrder="0" shrinkToFit="0" vertical="center" wrapText="0"/>
    </xf>
    <xf borderId="1" fillId="5" fontId="21" numFmtId="49" xfId="0" applyAlignment="1" applyBorder="1" applyFont="1" applyNumberFormat="1">
      <alignment horizontal="center" readingOrder="0" shrinkToFit="0" vertical="center" wrapText="0"/>
    </xf>
    <xf borderId="2" fillId="5" fontId="21" numFmtId="49" xfId="0" applyAlignment="1" applyBorder="1" applyFont="1" applyNumberFormat="1">
      <alignment horizontal="center" readingOrder="0" shrinkToFit="0" vertical="center" wrapText="0"/>
    </xf>
    <xf borderId="2" fillId="21" fontId="21" numFmtId="49" xfId="0" applyAlignment="1" applyBorder="1" applyFont="1" applyNumberFormat="1">
      <alignment horizontal="center" readingOrder="0" shrinkToFit="0" vertical="center" wrapText="0"/>
    </xf>
    <xf borderId="3" fillId="5" fontId="21" numFmtId="0" xfId="0" applyAlignment="1" applyBorder="1" applyFont="1">
      <alignment horizontal="left" readingOrder="0" shrinkToFit="0" vertical="center" wrapText="0"/>
    </xf>
    <xf borderId="1" fillId="5" fontId="21" numFmtId="49" xfId="0" applyAlignment="1" applyBorder="1" applyFont="1" applyNumberFormat="1">
      <alignment horizontal="center" readingOrder="0" shrinkToFit="0" vertical="center" wrapText="0"/>
    </xf>
    <xf borderId="1" fillId="5" fontId="21" numFmtId="169" xfId="0" applyAlignment="1" applyBorder="1" applyFont="1" applyNumberFormat="1">
      <alignment horizontal="center" readingOrder="0" shrinkToFit="0" vertical="center" wrapText="0"/>
    </xf>
    <xf borderId="1" fillId="0" fontId="19" numFmtId="0" xfId="0" applyAlignment="1" applyBorder="1" applyFont="1">
      <alignment vertical="center"/>
    </xf>
    <xf borderId="2" fillId="4" fontId="21" numFmtId="0" xfId="0" applyAlignment="1" applyBorder="1" applyFont="1">
      <alignment horizontal="center" readingOrder="0" shrinkToFit="0" vertical="center" wrapText="0"/>
    </xf>
    <xf borderId="1" fillId="4" fontId="21" numFmtId="0" xfId="0" applyAlignment="1" applyBorder="1" applyFont="1">
      <alignment horizontal="center" readingOrder="0" shrinkToFit="0" vertical="center" wrapText="0"/>
    </xf>
    <xf borderId="1" fillId="4" fontId="5" numFmtId="0" xfId="0" applyAlignment="1" applyBorder="1" applyFont="1">
      <alignment horizontal="left" readingOrder="0" shrinkToFit="0" vertical="center" wrapText="1"/>
    </xf>
    <xf borderId="1" fillId="0" fontId="5" numFmtId="0" xfId="0" applyAlignment="1" applyBorder="1" applyFont="1">
      <alignment horizontal="center" readingOrder="0" vertical="center"/>
    </xf>
    <xf borderId="1" fillId="4" fontId="21" numFmtId="0" xfId="0" applyAlignment="1" applyBorder="1" applyFont="1">
      <alignment horizontal="left" readingOrder="0" shrinkToFit="0" vertical="center" wrapText="1"/>
    </xf>
    <xf borderId="2" fillId="0" fontId="6" numFmtId="0" xfId="0" applyAlignment="1" applyBorder="1" applyFont="1">
      <alignment horizontal="right" readingOrder="0" shrinkToFit="0" vertical="center" wrapText="0"/>
    </xf>
    <xf borderId="2" fillId="0" fontId="21" numFmtId="0" xfId="0" applyAlignment="1" applyBorder="1" applyFont="1">
      <alignment horizontal="center" readingOrder="0" shrinkToFit="0" vertical="center" wrapText="0"/>
    </xf>
    <xf borderId="3" fillId="0" fontId="21" numFmtId="9" xfId="0" applyAlignment="1" applyBorder="1" applyFont="1" applyNumberFormat="1">
      <alignment horizontal="center" readingOrder="0" shrinkToFit="0" vertical="center" wrapText="0"/>
    </xf>
    <xf borderId="2" fillId="0" fontId="21" numFmtId="0" xfId="0" applyAlignment="1" applyBorder="1" applyFont="1">
      <alignment horizontal="center" shrinkToFit="0" vertical="center" wrapText="0"/>
    </xf>
    <xf borderId="2" fillId="0" fontId="24" numFmtId="49" xfId="0" applyAlignment="1" applyBorder="1" applyFont="1" applyNumberFormat="1">
      <alignment horizontal="center" readingOrder="0" shrinkToFit="0" vertical="center" wrapText="0"/>
    </xf>
    <xf borderId="2" fillId="5" fontId="5" numFmtId="0" xfId="0" applyAlignment="1" applyBorder="1" applyFont="1">
      <alignment horizontal="center" readingOrder="0" shrinkToFit="0" vertical="center" wrapText="0"/>
    </xf>
    <xf borderId="1" fillId="5" fontId="5" numFmtId="49" xfId="0" applyAlignment="1" applyBorder="1" applyFont="1" applyNumberFormat="1">
      <alignment horizontal="center" readingOrder="0" shrinkToFit="0" vertical="center" wrapText="0"/>
    </xf>
    <xf borderId="0" fillId="5" fontId="7" numFmtId="0" xfId="0" applyAlignment="1" applyFont="1">
      <alignment readingOrder="0" vertical="center"/>
    </xf>
    <xf borderId="1" fillId="0" fontId="21" numFmtId="172" xfId="0" applyAlignment="1" applyBorder="1" applyFont="1" applyNumberFormat="1">
      <alignment horizontal="center" readingOrder="0" vertical="center"/>
    </xf>
    <xf borderId="2" fillId="24" fontId="21" numFmtId="0" xfId="0" applyAlignment="1" applyBorder="1" applyFill="1" applyFont="1">
      <alignment horizontal="center" readingOrder="0" shrinkToFit="0" vertical="center" wrapText="0"/>
    </xf>
    <xf borderId="1" fillId="0" fontId="25" numFmtId="174" xfId="0" applyAlignment="1" applyBorder="1" applyFont="1" applyNumberFormat="1">
      <alignment horizontal="center" readingOrder="0" vertical="center"/>
    </xf>
    <xf borderId="2" fillId="8" fontId="21" numFmtId="164" xfId="0" applyAlignment="1" applyBorder="1" applyFont="1" applyNumberFormat="1">
      <alignment horizontal="center" readingOrder="0" shrinkToFit="0" vertical="center" wrapText="0"/>
    </xf>
    <xf borderId="2" fillId="0" fontId="5" numFmtId="49" xfId="0" applyAlignment="1" applyBorder="1" applyFont="1" applyNumberFormat="1">
      <alignment horizontal="center" readingOrder="0" shrinkToFit="0" vertical="center" wrapText="0"/>
    </xf>
    <xf borderId="1" fillId="0" fontId="5" numFmtId="172" xfId="0" applyAlignment="1" applyBorder="1" applyFont="1" applyNumberFormat="1">
      <alignment horizontal="center" readingOrder="0" vertical="center"/>
    </xf>
    <xf borderId="2" fillId="24" fontId="5" numFmtId="0" xfId="0" applyAlignment="1" applyBorder="1" applyFont="1">
      <alignment horizontal="center" readingOrder="0" shrinkToFit="0" vertical="center" wrapText="0"/>
    </xf>
    <xf borderId="2" fillId="7" fontId="21" numFmtId="0" xfId="0" applyAlignment="1" applyBorder="1" applyFont="1">
      <alignment readingOrder="0" shrinkToFit="0" vertical="center" wrapText="0"/>
    </xf>
    <xf borderId="0" fillId="0" fontId="5" numFmtId="0" xfId="0" applyAlignment="1" applyFont="1">
      <alignment horizontal="right" readingOrder="0" shrinkToFit="0" vertical="center" wrapText="0"/>
    </xf>
    <xf borderId="0" fillId="4" fontId="16" numFmtId="0" xfId="0" applyAlignment="1" applyFont="1">
      <alignment horizontal="center" readingOrder="0" vertical="center"/>
    </xf>
    <xf borderId="0" fillId="4" fontId="16" numFmtId="0" xfId="0" applyAlignment="1" applyFont="1">
      <alignment horizontal="center" vertical="center"/>
    </xf>
    <xf borderId="0" fillId="0" fontId="5" numFmtId="0" xfId="0" applyAlignment="1" applyFont="1">
      <alignment readingOrder="0" shrinkToFit="0" vertical="center" wrapText="0"/>
    </xf>
    <xf borderId="0" fillId="0" fontId="5" numFmtId="0" xfId="0" applyAlignment="1" applyFont="1">
      <alignment horizontal="center" readingOrder="0" shrinkToFit="0" vertical="center" wrapText="0"/>
    </xf>
    <xf borderId="0" fillId="0" fontId="5" numFmtId="0" xfId="0" applyAlignment="1" applyFont="1">
      <alignment horizontal="left" readingOrder="0" shrinkToFit="0" vertical="center" wrapText="0"/>
    </xf>
    <xf borderId="0" fillId="0" fontId="5" numFmtId="164" xfId="0" applyAlignment="1" applyFont="1" applyNumberFormat="1">
      <alignment horizontal="center" readingOrder="0" vertical="center"/>
    </xf>
    <xf borderId="0" fillId="0" fontId="5" numFmtId="164" xfId="0" applyAlignment="1" applyFont="1" applyNumberFormat="1">
      <alignment horizontal="center" readingOrder="0" shrinkToFit="0" vertical="center" wrapText="0"/>
    </xf>
    <xf borderId="0" fillId="0" fontId="5" numFmtId="0" xfId="0" applyAlignment="1" applyFont="1">
      <alignment horizontal="center" readingOrder="0" shrinkToFit="0" vertical="center" wrapText="0"/>
    </xf>
    <xf borderId="0" fillId="0" fontId="5" numFmtId="165" xfId="0" applyAlignment="1" applyFont="1" applyNumberFormat="1">
      <alignment horizontal="center" readingOrder="0" shrinkToFit="0" vertical="center" wrapText="0"/>
    </xf>
    <xf borderId="0" fillId="0" fontId="5" numFmtId="0" xfId="0" applyAlignment="1" applyFont="1">
      <alignment horizontal="center" readingOrder="0" shrinkToFit="0" vertical="center" wrapText="0"/>
    </xf>
    <xf borderId="0" fillId="0" fontId="5" numFmtId="164" xfId="0" applyAlignment="1" applyFont="1" applyNumberFormat="1">
      <alignment horizontal="center" readingOrder="0" shrinkToFit="0" vertical="center" wrapText="0"/>
    </xf>
    <xf borderId="0" fillId="21" fontId="5" numFmtId="0" xfId="0" applyAlignment="1" applyFont="1">
      <alignment horizontal="center" vertical="center"/>
    </xf>
    <xf borderId="0" fillId="22" fontId="5" numFmtId="9" xfId="0" applyAlignment="1" applyFont="1" applyNumberFormat="1">
      <alignment horizontal="right" vertical="center"/>
    </xf>
    <xf borderId="0" fillId="0" fontId="5" numFmtId="9" xfId="0" applyAlignment="1" applyFont="1" applyNumberFormat="1">
      <alignment horizontal="center" readingOrder="0" shrinkToFit="0" vertical="center" wrapText="0"/>
    </xf>
    <xf borderId="0" fillId="0" fontId="6" numFmtId="164" xfId="0" applyAlignment="1" applyFont="1" applyNumberFormat="1">
      <alignment horizontal="center" readingOrder="0" shrinkToFit="0" vertical="center" wrapText="0"/>
    </xf>
    <xf borderId="0" fillId="0" fontId="5" numFmtId="49" xfId="0" applyAlignment="1" applyFont="1" applyNumberFormat="1">
      <alignment horizontal="center" readingOrder="0" shrinkToFit="0" vertical="center" wrapText="0"/>
    </xf>
    <xf borderId="0" fillId="0" fontId="5" numFmtId="49" xfId="0" applyAlignment="1" applyFont="1" applyNumberFormat="1">
      <alignment horizontal="center" readingOrder="0" shrinkToFit="0" vertical="center" wrapText="0"/>
    </xf>
    <xf borderId="0" fillId="0" fontId="5" numFmtId="168" xfId="0" applyAlignment="1" applyFont="1" applyNumberFormat="1">
      <alignment horizontal="center" readingOrder="0" shrinkToFit="0" vertical="center" wrapText="0"/>
    </xf>
    <xf borderId="0" fillId="0" fontId="5" numFmtId="49" xfId="0" applyAlignment="1" applyFont="1" applyNumberFormat="1">
      <alignment horizontal="center" shrinkToFit="0" vertical="center" wrapText="0"/>
    </xf>
    <xf borderId="0" fillId="0" fontId="5" numFmtId="4" xfId="0" applyAlignment="1" applyFont="1" applyNumberFormat="1">
      <alignment horizontal="center" readingOrder="0" shrinkToFit="0" vertical="center" wrapText="0"/>
    </xf>
    <xf borderId="0" fillId="0" fontId="5" numFmtId="49" xfId="0" applyAlignment="1" applyFont="1" applyNumberFormat="1">
      <alignment readingOrder="0" shrinkToFit="0" vertical="center" wrapText="0"/>
    </xf>
    <xf borderId="0" fillId="0" fontId="5" numFmtId="49" xfId="0" applyAlignment="1" applyFont="1" applyNumberFormat="1">
      <alignment horizontal="left" readingOrder="0" shrinkToFit="0" vertical="center" wrapText="0"/>
    </xf>
    <xf borderId="0" fillId="5" fontId="5" numFmtId="49" xfId="0" applyAlignment="1" applyFont="1" applyNumberFormat="1">
      <alignment horizontal="left" readingOrder="0" shrinkToFit="0" vertical="center" wrapText="0"/>
    </xf>
    <xf borderId="2" fillId="5" fontId="5" numFmtId="169" xfId="0" applyAlignment="1" applyBorder="1" applyFont="1" applyNumberFormat="1">
      <alignment horizontal="left" readingOrder="0" shrinkToFit="0" vertical="center" wrapText="0"/>
    </xf>
    <xf borderId="4" fillId="5" fontId="5" numFmtId="169" xfId="0" applyAlignment="1" applyBorder="1" applyFont="1" applyNumberFormat="1">
      <alignment horizontal="left" readingOrder="0" shrinkToFit="0" vertical="center" wrapText="0"/>
    </xf>
    <xf borderId="4" fillId="0" fontId="7" numFmtId="169" xfId="0" applyAlignment="1" applyBorder="1" applyFont="1" applyNumberFormat="1">
      <alignment horizontal="center" vertical="center"/>
    </xf>
    <xf borderId="1" fillId="21" fontId="26" numFmtId="0" xfId="0" applyAlignment="1" applyBorder="1" applyFont="1">
      <alignment vertical="center"/>
    </xf>
    <xf borderId="1" fillId="21" fontId="27" numFmtId="0" xfId="0" applyAlignment="1" applyBorder="1" applyFont="1">
      <alignment horizontal="center" vertical="center"/>
    </xf>
    <xf borderId="0" fillId="0" fontId="20" numFmtId="0" xfId="0" applyAlignment="1" applyFont="1">
      <alignment vertical="center"/>
    </xf>
    <xf borderId="0" fillId="0" fontId="5" numFmtId="0" xfId="0" applyAlignment="1" applyFont="1">
      <alignment horizontal="left" readingOrder="0" vertical="center"/>
    </xf>
    <xf borderId="0" fillId="0" fontId="5" numFmtId="169" xfId="0" applyAlignment="1" applyFont="1" applyNumberFormat="1">
      <alignment horizontal="left" readingOrder="0" shrinkToFit="0" vertical="center" wrapText="0"/>
    </xf>
    <xf borderId="0" fillId="0" fontId="20" numFmtId="169" xfId="0" applyAlignment="1" applyFont="1" applyNumberFormat="1">
      <alignment horizontal="center" vertical="center"/>
    </xf>
    <xf borderId="1" fillId="21" fontId="28" numFmtId="0" xfId="0" applyAlignment="1" applyBorder="1" applyFont="1">
      <alignment vertical="center"/>
    </xf>
    <xf borderId="1" fillId="0" fontId="20" numFmtId="0" xfId="0" applyAlignment="1" applyBorder="1" applyFont="1">
      <alignment horizontal="left" shrinkToFit="0" vertical="center" wrapText="1"/>
    </xf>
    <xf borderId="0" fillId="0" fontId="29" numFmtId="0" xfId="0" applyAlignment="1" applyFont="1">
      <alignment vertical="center"/>
    </xf>
    <xf borderId="0" fillId="0" fontId="5" numFmtId="164" xfId="0" applyAlignment="1" applyFont="1" applyNumberFormat="1">
      <alignment horizontal="left" readingOrder="0" vertical="center"/>
    </xf>
    <xf borderId="0" fillId="0" fontId="30" numFmtId="169" xfId="0" applyAlignment="1" applyFont="1" applyNumberFormat="1">
      <alignment horizontal="center" vertical="center"/>
    </xf>
    <xf borderId="1" fillId="0" fontId="20" numFmtId="0" xfId="0" applyAlignment="1" applyBorder="1" applyFont="1">
      <alignment horizontal="left" readingOrder="0" shrinkToFit="0" vertical="center" wrapText="1"/>
    </xf>
    <xf borderId="0" fillId="0" fontId="30" numFmtId="0" xfId="0" applyAlignment="1" applyFont="1">
      <alignment vertical="center"/>
    </xf>
    <xf borderId="1" fillId="0" fontId="20" numFmtId="0" xfId="0" applyAlignment="1" applyBorder="1" applyFont="1">
      <alignment horizontal="left" vertical="center"/>
    </xf>
    <xf borderId="1" fillId="0" fontId="20" numFmtId="0" xfId="0" applyAlignment="1" applyBorder="1" applyFont="1">
      <alignment horizontal="left" shrinkToFit="0" vertical="center" wrapText="1"/>
    </xf>
    <xf borderId="1" fillId="0" fontId="20" numFmtId="172" xfId="0" applyAlignment="1" applyBorder="1" applyFont="1" applyNumberFormat="1">
      <alignment horizontal="left" shrinkToFit="0" vertical="center" wrapText="1"/>
    </xf>
    <xf borderId="0" fillId="0" fontId="28" numFmtId="0" xfId="0" applyAlignment="1" applyFont="1">
      <alignment vertical="center"/>
    </xf>
    <xf borderId="1" fillId="0" fontId="20" numFmtId="0" xfId="0" applyAlignment="1" applyBorder="1" applyFont="1">
      <alignment horizontal="left" readingOrder="0" vertical="center"/>
    </xf>
    <xf borderId="1" fillId="0" fontId="16" numFmtId="0" xfId="0" applyAlignment="1" applyBorder="1" applyFont="1">
      <alignment horizontal="left" readingOrder="0" vertical="center"/>
    </xf>
    <xf borderId="0" fillId="5" fontId="5" numFmtId="169" xfId="0" applyAlignment="1" applyFont="1" applyNumberFormat="1">
      <alignment horizontal="center" readingOrder="0" shrinkToFit="0" vertical="center" wrapText="0"/>
    </xf>
    <xf borderId="0" fillId="0" fontId="7" numFmtId="0" xfId="0" applyAlignment="1" applyFont="1">
      <alignment horizontal="right" readingOrder="0" vertical="center"/>
    </xf>
    <xf borderId="0" fillId="3" fontId="7" numFmtId="0" xfId="0" applyAlignment="1" applyFont="1">
      <alignment horizontal="left" readingOrder="0" vertical="center"/>
    </xf>
    <xf borderId="1" fillId="0" fontId="31" numFmtId="174" xfId="0" applyAlignment="1" applyBorder="1" applyFont="1" applyNumberFormat="1">
      <alignment horizontal="center" readingOrder="0" vertical="center"/>
    </xf>
    <xf borderId="2" fillId="3" fontId="5" numFmtId="164" xfId="0" applyAlignment="1" applyBorder="1" applyFont="1" applyNumberFormat="1">
      <alignment horizontal="center" readingOrder="0" shrinkToFit="0" vertical="center" wrapText="0"/>
    </xf>
    <xf borderId="3" fillId="0" fontId="32" numFmtId="0" xfId="0" applyAlignment="1" applyBorder="1" applyFont="1">
      <alignment horizontal="center" readingOrder="0" shrinkToFit="0" vertical="center" wrapText="0"/>
    </xf>
    <xf borderId="3" fillId="0" fontId="33" numFmtId="49" xfId="0" applyAlignment="1" applyBorder="1" applyFont="1" applyNumberFormat="1">
      <alignment horizontal="center" readingOrder="0" shrinkToFit="0" vertical="center" wrapText="0"/>
    </xf>
    <xf borderId="2" fillId="0" fontId="5" numFmtId="0" xfId="0" applyAlignment="1" applyBorder="1" applyFont="1">
      <alignment horizontal="center" readingOrder="0" vertical="center"/>
    </xf>
    <xf borderId="1" fillId="3" fontId="5" numFmtId="174" xfId="0" applyAlignment="1" applyBorder="1" applyFont="1" applyNumberFormat="1">
      <alignment horizontal="center" readingOrder="0" vertical="center"/>
    </xf>
    <xf borderId="2" fillId="4" fontId="5" numFmtId="0" xfId="0" applyAlignment="1" applyBorder="1" applyFont="1">
      <alignment horizontal="center" readingOrder="0" shrinkToFit="0" vertical="center" wrapText="0"/>
    </xf>
    <xf borderId="3" fillId="5" fontId="34" numFmtId="0" xfId="0" applyAlignment="1" applyBorder="1" applyFont="1">
      <alignment horizontal="center" readingOrder="0" shrinkToFit="0" vertical="center" wrapText="0"/>
    </xf>
    <xf borderId="3" fillId="5" fontId="5" numFmtId="0" xfId="0" applyAlignment="1" applyBorder="1" applyFont="1">
      <alignment horizontal="center" readingOrder="0" shrinkToFit="0" vertical="center" wrapText="0"/>
    </xf>
    <xf borderId="2" fillId="0" fontId="35" numFmtId="0" xfId="0" applyAlignment="1" applyBorder="1" applyFont="1">
      <alignment horizontal="right" readingOrder="0" shrinkToFit="0" vertical="center" wrapText="0"/>
    </xf>
    <xf borderId="2" fillId="0" fontId="35" numFmtId="0" xfId="0" applyAlignment="1" applyBorder="1" applyFont="1">
      <alignment horizontal="center" readingOrder="0" shrinkToFit="0" vertical="center" wrapText="0"/>
    </xf>
    <xf borderId="2" fillId="3" fontId="35" numFmtId="0" xfId="0" applyAlignment="1" applyBorder="1" applyFont="1">
      <alignment horizontal="center" readingOrder="0" shrinkToFit="0" vertical="center" wrapText="0"/>
    </xf>
    <xf borderId="1" fillId="0" fontId="35" numFmtId="0" xfId="0" applyAlignment="1" applyBorder="1" applyFont="1">
      <alignment horizontal="center" readingOrder="0" shrinkToFit="0" vertical="center" wrapText="0"/>
    </xf>
    <xf borderId="2" fillId="0" fontId="35" numFmtId="0" xfId="0" applyAlignment="1" applyBorder="1" applyFont="1">
      <alignment readingOrder="0" shrinkToFit="0" vertical="center" wrapText="0"/>
    </xf>
    <xf borderId="2" fillId="5" fontId="35" numFmtId="0" xfId="0" applyAlignment="1" applyBorder="1" applyFont="1">
      <alignment horizontal="left" readingOrder="0" shrinkToFit="0" vertical="center" wrapText="0"/>
    </xf>
    <xf borderId="1" fillId="0" fontId="36" numFmtId="0" xfId="0" applyAlignment="1" applyBorder="1" applyFont="1">
      <alignment horizontal="left" readingOrder="0" shrinkToFit="0" vertical="center" wrapText="1"/>
    </xf>
    <xf borderId="2" fillId="5" fontId="35" numFmtId="0" xfId="0" applyAlignment="1" applyBorder="1" applyFont="1">
      <alignment horizontal="left" readingOrder="0" shrinkToFit="0" vertical="center" wrapText="1"/>
    </xf>
    <xf borderId="2" fillId="19" fontId="35" numFmtId="0" xfId="0" applyAlignment="1" applyBorder="1" applyFont="1">
      <alignment horizontal="left" readingOrder="0" shrinkToFit="0" vertical="center" wrapText="0"/>
    </xf>
    <xf borderId="1" fillId="0" fontId="35" numFmtId="0" xfId="0" applyAlignment="1" applyBorder="1" applyFont="1">
      <alignment readingOrder="0" vertical="center"/>
    </xf>
    <xf borderId="2" fillId="0" fontId="35" numFmtId="164" xfId="0" applyAlignment="1" applyBorder="1" applyFont="1" applyNumberFormat="1">
      <alignment horizontal="center" readingOrder="0" shrinkToFit="0" vertical="center" wrapText="0"/>
    </xf>
    <xf borderId="2" fillId="0" fontId="35" numFmtId="0" xfId="0" applyAlignment="1" applyBorder="1" applyFont="1">
      <alignment horizontal="left" readingOrder="0" vertical="center"/>
    </xf>
    <xf borderId="2" fillId="3" fontId="35" numFmtId="164" xfId="0" applyAlignment="1" applyBorder="1" applyFont="1" applyNumberFormat="1">
      <alignment horizontal="center" readingOrder="0" shrinkToFit="0" vertical="center" wrapText="0"/>
    </xf>
    <xf borderId="3" fillId="0" fontId="35" numFmtId="165" xfId="0" applyAlignment="1" applyBorder="1" applyFont="1" applyNumberFormat="1">
      <alignment horizontal="center" readingOrder="0" shrinkToFit="0" vertical="center" wrapText="0"/>
    </xf>
    <xf borderId="3" fillId="0" fontId="35" numFmtId="0" xfId="0" applyAlignment="1" applyBorder="1" applyFont="1">
      <alignment horizontal="center" readingOrder="0" shrinkToFit="0" vertical="center" wrapText="0"/>
    </xf>
    <xf borderId="2" fillId="0" fontId="35" numFmtId="172" xfId="0" applyAlignment="1" applyBorder="1" applyFont="1" applyNumberFormat="1">
      <alignment horizontal="center" readingOrder="0" shrinkToFit="0" vertical="center" wrapText="0"/>
    </xf>
    <xf borderId="1" fillId="5" fontId="37" numFmtId="0" xfId="0" applyAlignment="1" applyBorder="1" applyFont="1">
      <alignment horizontal="center" readingOrder="0" vertical="center"/>
    </xf>
    <xf borderId="3" fillId="0" fontId="35" numFmtId="49" xfId="0" applyAlignment="1" applyBorder="1" applyFont="1" applyNumberFormat="1">
      <alignment horizontal="center" readingOrder="0" vertical="center"/>
    </xf>
    <xf borderId="3" fillId="0" fontId="35" numFmtId="0" xfId="0" applyAlignment="1" applyBorder="1" applyFont="1">
      <alignment horizontal="center" readingOrder="0" shrinkToFit="0" vertical="center" wrapText="1"/>
    </xf>
    <xf borderId="2" fillId="0" fontId="35" numFmtId="0" xfId="0" applyAlignment="1" applyBorder="1" applyFont="1">
      <alignment horizontal="center" readingOrder="0" vertical="center"/>
    </xf>
    <xf borderId="3" fillId="21" fontId="35" numFmtId="3" xfId="0" applyAlignment="1" applyBorder="1" applyFont="1" applyNumberFormat="1">
      <alignment horizontal="center" vertical="center"/>
    </xf>
    <xf borderId="1" fillId="22" fontId="35" numFmtId="9" xfId="0" applyAlignment="1" applyBorder="1" applyFont="1" applyNumberFormat="1">
      <alignment horizontal="right" vertical="center"/>
    </xf>
    <xf borderId="3" fillId="0" fontId="35" numFmtId="9" xfId="0" applyAlignment="1" applyBorder="1" applyFont="1" applyNumberFormat="1">
      <alignment horizontal="center" readingOrder="0" shrinkToFit="0" vertical="center" wrapText="0"/>
    </xf>
    <xf borderId="2" fillId="5" fontId="35" numFmtId="164" xfId="0" applyAlignment="1" applyBorder="1" applyFont="1" applyNumberFormat="1">
      <alignment horizontal="center" readingOrder="0" shrinkToFit="0" vertical="center" wrapText="0"/>
    </xf>
    <xf borderId="2" fillId="3" fontId="36" numFmtId="164" xfId="0" applyAlignment="1" applyBorder="1" applyFont="1" applyNumberFormat="1">
      <alignment horizontal="center" readingOrder="0" shrinkToFit="0" vertical="center" wrapText="0"/>
    </xf>
    <xf borderId="2" fillId="0" fontId="35" numFmtId="49" xfId="0" applyAlignment="1" applyBorder="1" applyFont="1" applyNumberFormat="1">
      <alignment horizontal="center" readingOrder="0" shrinkToFit="0" vertical="center" wrapText="0"/>
    </xf>
    <xf borderId="2" fillId="0" fontId="35" numFmtId="168" xfId="0" applyAlignment="1" applyBorder="1" applyFont="1" applyNumberFormat="1">
      <alignment horizontal="center" readingOrder="0" shrinkToFit="0" vertical="center" wrapText="0"/>
    </xf>
    <xf borderId="2" fillId="23" fontId="35" numFmtId="49" xfId="0" applyAlignment="1" applyBorder="1" applyFont="1" applyNumberFormat="1">
      <alignment horizontal="center" shrinkToFit="0" vertical="center" wrapText="0"/>
    </xf>
    <xf borderId="2" fillId="21" fontId="35" numFmtId="49" xfId="0" applyAlignment="1" applyBorder="1" applyFont="1" applyNumberFormat="1">
      <alignment horizontal="center" shrinkToFit="0" vertical="center" wrapText="0"/>
    </xf>
    <xf borderId="2" fillId="0" fontId="35" numFmtId="4" xfId="0" applyAlignment="1" applyBorder="1" applyFont="1" applyNumberFormat="1">
      <alignment horizontal="center" readingOrder="0" shrinkToFit="0" vertical="center" wrapText="0"/>
    </xf>
    <xf borderId="2" fillId="0" fontId="35" numFmtId="49" xfId="0" applyAlignment="1" applyBorder="1" applyFont="1" applyNumberFormat="1">
      <alignment readingOrder="0" shrinkToFit="0" vertical="center" wrapText="0"/>
    </xf>
    <xf borderId="1" fillId="5" fontId="35" numFmtId="49" xfId="0" applyAlignment="1" applyBorder="1" applyFont="1" applyNumberFormat="1">
      <alignment horizontal="center" readingOrder="0" shrinkToFit="0" vertical="center" wrapText="0"/>
    </xf>
    <xf borderId="1" fillId="5" fontId="35" numFmtId="49" xfId="0" applyAlignment="1" applyBorder="1" applyFont="1" applyNumberFormat="1">
      <alignment horizontal="center" readingOrder="0" shrinkToFit="0" vertical="center" wrapText="0"/>
    </xf>
    <xf borderId="2" fillId="5" fontId="35" numFmtId="49" xfId="0" applyAlignment="1" applyBorder="1" applyFont="1" applyNumberFormat="1">
      <alignment horizontal="center" readingOrder="0" shrinkToFit="0" vertical="center" wrapText="0"/>
    </xf>
    <xf borderId="3" fillId="5" fontId="35" numFmtId="0" xfId="0" applyAlignment="1" applyBorder="1" applyFont="1">
      <alignment horizontal="left" readingOrder="0" shrinkToFit="0" vertical="center" wrapText="0"/>
    </xf>
    <xf borderId="3" fillId="0" fontId="35" numFmtId="49" xfId="0" applyAlignment="1" applyBorder="1" applyFont="1" applyNumberFormat="1">
      <alignment horizontal="center" readingOrder="0" shrinkToFit="0" vertical="center" wrapText="0"/>
    </xf>
    <xf borderId="1" fillId="5" fontId="35" numFmtId="169" xfId="0" applyAlignment="1" applyBorder="1" applyFont="1" applyNumberFormat="1">
      <alignment horizontal="center" readingOrder="0" shrinkToFit="0" vertical="center" wrapText="0"/>
    </xf>
    <xf borderId="1" fillId="0" fontId="38" numFmtId="0" xfId="0" applyAlignment="1" applyBorder="1" applyFont="1">
      <alignment vertical="center"/>
    </xf>
    <xf borderId="0" fillId="5" fontId="38" numFmtId="0" xfId="0" applyAlignment="1" applyFont="1">
      <alignment readingOrder="0" vertical="center"/>
    </xf>
    <xf borderId="0" fillId="0" fontId="38" numFmtId="0" xfId="0" applyAlignment="1" applyFont="1">
      <alignment vertical="center"/>
    </xf>
    <xf borderId="2" fillId="8" fontId="35" numFmtId="0" xfId="0" applyAlignment="1" applyBorder="1" applyFont="1">
      <alignment readingOrder="0" shrinkToFit="0" vertical="center" wrapText="0"/>
    </xf>
    <xf borderId="1" fillId="0" fontId="35" numFmtId="0" xfId="0" applyAlignment="1" applyBorder="1" applyFont="1">
      <alignment horizontal="left" readingOrder="0" shrinkToFit="0" vertical="center" wrapText="1"/>
    </xf>
    <xf borderId="2" fillId="0" fontId="35" numFmtId="0" xfId="0" applyAlignment="1" applyBorder="1" applyFont="1">
      <alignment horizontal="center" shrinkToFit="0" vertical="center" wrapText="0"/>
    </xf>
    <xf borderId="3" fillId="0" fontId="35" numFmtId="0" xfId="0" applyAlignment="1" applyBorder="1" applyFont="1">
      <alignment horizontal="center" readingOrder="0" vertical="center"/>
    </xf>
    <xf borderId="2" fillId="5" fontId="35" numFmtId="0" xfId="0" applyAlignment="1" applyBorder="1" applyFont="1">
      <alignment readingOrder="0" shrinkToFit="0" vertical="center" wrapText="0"/>
    </xf>
    <xf borderId="2" fillId="5" fontId="35" numFmtId="0" xfId="0" applyAlignment="1" applyBorder="1" applyFont="1">
      <alignment horizontal="right" readingOrder="0" shrinkToFit="0" vertical="center" wrapText="0"/>
    </xf>
    <xf borderId="1" fillId="5" fontId="35" numFmtId="0" xfId="0" applyAlignment="1" applyBorder="1" applyFont="1">
      <alignment horizontal="center" readingOrder="0" shrinkToFit="0" vertical="center" wrapText="0"/>
    </xf>
    <xf borderId="1" fillId="5" fontId="35" numFmtId="0" xfId="0" applyAlignment="1" applyBorder="1" applyFont="1">
      <alignment horizontal="left" readingOrder="0" shrinkToFit="0" vertical="center" wrapText="1"/>
    </xf>
    <xf borderId="1" fillId="5" fontId="35" numFmtId="0" xfId="0" applyAlignment="1" applyBorder="1" applyFont="1">
      <alignment readingOrder="0" vertical="center"/>
    </xf>
    <xf borderId="2" fillId="5" fontId="35" numFmtId="0" xfId="0" applyAlignment="1" applyBorder="1" applyFont="1">
      <alignment horizontal="center" shrinkToFit="0" vertical="center" wrapText="0"/>
    </xf>
    <xf borderId="2" fillId="5" fontId="35" numFmtId="0" xfId="0" applyAlignment="1" applyBorder="1" applyFont="1">
      <alignment horizontal="center" readingOrder="0" shrinkToFit="0" vertical="center" wrapText="0"/>
    </xf>
    <xf borderId="2" fillId="5" fontId="35" numFmtId="164" xfId="0" applyAlignment="1" applyBorder="1" applyFont="1" applyNumberFormat="1">
      <alignment horizontal="center" readingOrder="0" shrinkToFit="0" vertical="center" wrapText="0"/>
    </xf>
    <xf borderId="2" fillId="5" fontId="35" numFmtId="0" xfId="0" applyAlignment="1" applyBorder="1" applyFont="1">
      <alignment horizontal="left" readingOrder="0" vertical="center"/>
    </xf>
    <xf borderId="1" fillId="5" fontId="39" numFmtId="164" xfId="0" applyAlignment="1" applyBorder="1" applyFont="1" applyNumberFormat="1">
      <alignment horizontal="center" readingOrder="0" vertical="center"/>
    </xf>
    <xf borderId="1" fillId="3" fontId="35" numFmtId="164" xfId="0" applyAlignment="1" applyBorder="1" applyFont="1" applyNumberFormat="1">
      <alignment horizontal="center" readingOrder="0" vertical="center"/>
    </xf>
    <xf borderId="3" fillId="5" fontId="35" numFmtId="165" xfId="0" applyAlignment="1" applyBorder="1" applyFont="1" applyNumberFormat="1">
      <alignment horizontal="center" readingOrder="0" shrinkToFit="0" vertical="center" wrapText="0"/>
    </xf>
    <xf borderId="3" fillId="5" fontId="35" numFmtId="0" xfId="0" applyAlignment="1" applyBorder="1" applyFont="1">
      <alignment horizontal="center" readingOrder="0" shrinkToFit="0" vertical="center" wrapText="0"/>
    </xf>
    <xf borderId="3" fillId="5" fontId="40" numFmtId="49" xfId="0" applyAlignment="1" applyBorder="1" applyFont="1" applyNumberFormat="1">
      <alignment horizontal="center" readingOrder="0" shrinkToFit="0" vertical="center" wrapText="0"/>
    </xf>
    <xf borderId="2" fillId="5" fontId="35" numFmtId="172" xfId="0" applyAlignment="1" applyBorder="1" applyFont="1" applyNumberFormat="1">
      <alignment horizontal="center" readingOrder="0" shrinkToFit="0" vertical="center" wrapText="0"/>
    </xf>
    <xf borderId="3" fillId="5" fontId="35" numFmtId="49" xfId="0" applyAlignment="1" applyBorder="1" applyFont="1" applyNumberFormat="1">
      <alignment horizontal="center" readingOrder="0" vertical="center"/>
    </xf>
    <xf borderId="3" fillId="5" fontId="35" numFmtId="0" xfId="0" applyAlignment="1" applyBorder="1" applyFont="1">
      <alignment horizontal="center" readingOrder="0" vertical="center"/>
    </xf>
    <xf borderId="2" fillId="5" fontId="35" numFmtId="0" xfId="0" applyAlignment="1" applyBorder="1" applyFont="1">
      <alignment horizontal="center" readingOrder="0" vertical="center"/>
    </xf>
    <xf borderId="1" fillId="5" fontId="35" numFmtId="9" xfId="0" applyAlignment="1" applyBorder="1" applyFont="1" applyNumberFormat="1">
      <alignment horizontal="right" vertical="center"/>
    </xf>
    <xf borderId="2" fillId="5" fontId="35" numFmtId="49" xfId="0" applyAlignment="1" applyBorder="1" applyFont="1" applyNumberFormat="1">
      <alignment horizontal="center" readingOrder="0" shrinkToFit="0" vertical="center" wrapText="0"/>
    </xf>
    <xf borderId="2" fillId="5" fontId="41" numFmtId="49" xfId="0" applyAlignment="1" applyBorder="1" applyFont="1" applyNumberFormat="1">
      <alignment horizontal="center" readingOrder="0" shrinkToFit="0" vertical="center" wrapText="0"/>
    </xf>
    <xf borderId="2" fillId="5" fontId="35" numFmtId="168" xfId="0" applyAlignment="1" applyBorder="1" applyFont="1" applyNumberFormat="1">
      <alignment horizontal="center" readingOrder="0" shrinkToFit="0" vertical="center" wrapText="0"/>
    </xf>
    <xf borderId="2" fillId="5" fontId="35" numFmtId="49" xfId="0" applyAlignment="1" applyBorder="1" applyFont="1" applyNumberFormat="1">
      <alignment horizontal="center" shrinkToFit="0" vertical="center" wrapText="0"/>
    </xf>
    <xf borderId="2" fillId="5" fontId="35" numFmtId="4" xfId="0" applyAlignment="1" applyBorder="1" applyFont="1" applyNumberFormat="1">
      <alignment horizontal="center" readingOrder="0" shrinkToFit="0" vertical="center" wrapText="0"/>
    </xf>
    <xf borderId="2" fillId="5" fontId="35" numFmtId="49" xfId="0" applyAlignment="1" applyBorder="1" applyFont="1" applyNumberFormat="1">
      <alignment readingOrder="0" shrinkToFit="0" vertical="center" wrapText="0"/>
    </xf>
    <xf borderId="1" fillId="5" fontId="38" numFmtId="0" xfId="0" applyAlignment="1" applyBorder="1" applyFont="1">
      <alignment vertical="center"/>
    </xf>
    <xf borderId="0" fillId="5" fontId="38" numFmtId="0" xfId="0" applyAlignment="1" applyFont="1">
      <alignment vertical="center"/>
    </xf>
    <xf borderId="1" fillId="0" fontId="42" numFmtId="164" xfId="0" applyAlignment="1" applyBorder="1" applyFont="1" applyNumberFormat="1">
      <alignment horizontal="center" readingOrder="0" vertical="center"/>
    </xf>
    <xf borderId="3" fillId="0" fontId="35" numFmtId="165" xfId="0" applyAlignment="1" applyBorder="1" applyFont="1" applyNumberFormat="1">
      <alignment horizontal="center" readingOrder="0" shrinkToFit="0" vertical="center" wrapText="0"/>
    </xf>
    <xf borderId="2" fillId="21" fontId="35" numFmtId="49" xfId="0" applyAlignment="1" applyBorder="1" applyFont="1" applyNumberFormat="1">
      <alignment horizontal="center" readingOrder="0" shrinkToFit="0" vertical="center" wrapText="0"/>
    </xf>
    <xf borderId="1" fillId="0" fontId="43" numFmtId="165" xfId="0" applyAlignment="1" applyBorder="1" applyFont="1" applyNumberFormat="1">
      <alignment horizontal="center" readingOrder="0" vertical="center"/>
    </xf>
    <xf borderId="2" fillId="3" fontId="35" numFmtId="165" xfId="0" applyAlignment="1" applyBorder="1" applyFont="1" applyNumberFormat="1">
      <alignment horizontal="center" readingOrder="0" shrinkToFit="0" vertical="center" wrapText="0"/>
    </xf>
    <xf borderId="2" fillId="22" fontId="35" numFmtId="0" xfId="0" applyAlignment="1" applyBorder="1" applyFont="1">
      <alignment readingOrder="0" shrinkToFit="0" vertical="center" wrapText="0"/>
    </xf>
    <xf borderId="3" fillId="0" fontId="35" numFmtId="0" xfId="0" applyAlignment="1" applyBorder="1" applyFont="1">
      <alignment horizontal="center" readingOrder="0" vertical="bottom"/>
    </xf>
    <xf borderId="1" fillId="3" fontId="35" numFmtId="174" xfId="0" applyAlignment="1" applyBorder="1" applyFont="1" applyNumberFormat="1">
      <alignment horizontal="center" readingOrder="0" shrinkToFit="0" vertical="center" wrapText="0"/>
    </xf>
    <xf borderId="2" fillId="3" fontId="35" numFmtId="174" xfId="0" applyAlignment="1" applyBorder="1" applyFont="1" applyNumberFormat="1">
      <alignment horizontal="center" readingOrder="0" vertical="center"/>
    </xf>
    <xf borderId="1" fillId="3" fontId="35" numFmtId="164" xfId="0" applyAlignment="1" applyBorder="1" applyFont="1" applyNumberFormat="1">
      <alignment horizontal="center" readingOrder="0" shrinkToFit="0" vertical="center" wrapText="0"/>
    </xf>
    <xf borderId="3" fillId="5" fontId="21" numFmtId="49" xfId="0" applyAlignment="1" applyBorder="1" applyFont="1" applyNumberFormat="1">
      <alignment horizontal="center" readingOrder="0" shrinkToFit="0" vertical="center" wrapText="0"/>
    </xf>
    <xf borderId="2" fillId="5" fontId="21" numFmtId="49" xfId="0" applyAlignment="1" applyBorder="1" applyFont="1" applyNumberFormat="1">
      <alignment horizontal="center" readingOrder="0" shrinkToFit="0" vertical="center" wrapText="0"/>
    </xf>
    <xf borderId="3" fillId="0" fontId="21" numFmtId="0" xfId="0" applyAlignment="1" applyBorder="1" applyFont="1">
      <alignment horizontal="left" readingOrder="0" shrinkToFit="0" vertical="center" wrapText="0"/>
    </xf>
    <xf borderId="1" fillId="0" fontId="44" numFmtId="164" xfId="0" applyAlignment="1" applyBorder="1" applyFont="1" applyNumberFormat="1">
      <alignment horizontal="center" readingOrder="0" shrinkToFit="0" vertical="center" wrapText="0"/>
    </xf>
    <xf borderId="1" fillId="3" fontId="5" numFmtId="164" xfId="0" applyAlignment="1" applyBorder="1" applyFont="1" applyNumberFormat="1">
      <alignment horizontal="center" readingOrder="0" shrinkToFit="0" vertical="center" wrapText="0"/>
    </xf>
    <xf borderId="1" fillId="0" fontId="21" numFmtId="165" xfId="0" applyAlignment="1" applyBorder="1" applyFont="1" applyNumberFormat="1">
      <alignment horizontal="center" readingOrder="0" vertical="center"/>
    </xf>
    <xf borderId="3" fillId="0" fontId="45" numFmtId="49" xfId="0" applyAlignment="1" applyBorder="1" applyFont="1" applyNumberFormat="1">
      <alignment horizontal="center" readingOrder="0" shrinkToFit="0" vertical="center" wrapText="0"/>
    </xf>
    <xf borderId="1" fillId="0" fontId="46" numFmtId="175" xfId="0" applyAlignment="1" applyBorder="1" applyFont="1" applyNumberFormat="1">
      <alignment horizontal="center" readingOrder="0" vertical="center"/>
    </xf>
    <xf borderId="3" fillId="21" fontId="35" numFmtId="3" xfId="0" applyAlignment="1" applyBorder="1" applyFont="1" applyNumberFormat="1">
      <alignment horizontal="center" readingOrder="0" vertical="center"/>
    </xf>
    <xf borderId="2" fillId="3" fontId="35" numFmtId="174" xfId="0" applyAlignment="1" applyBorder="1" applyFont="1" applyNumberFormat="1">
      <alignment horizontal="center" readingOrder="0" shrinkToFit="0" vertical="center" wrapText="0"/>
    </xf>
    <xf borderId="1" fillId="0" fontId="35" numFmtId="165" xfId="0" applyAlignment="1" applyBorder="1" applyFont="1" applyNumberFormat="1">
      <alignment horizontal="center" readingOrder="0" vertical="center"/>
    </xf>
    <xf borderId="3" fillId="5" fontId="10" numFmtId="0" xfId="0" applyAlignment="1" applyBorder="1" applyFont="1">
      <alignment horizontal="center" readingOrder="0" shrinkToFit="0" vertical="center" wrapText="0"/>
    </xf>
    <xf borderId="3" fillId="21" fontId="5" numFmtId="3" xfId="0" applyAlignment="1" applyBorder="1" applyFont="1" applyNumberFormat="1">
      <alignment horizontal="center" readingOrder="0" vertical="center"/>
    </xf>
    <xf borderId="1" fillId="3" fontId="35" numFmtId="0" xfId="0" applyAlignment="1" applyBorder="1" applyFont="1">
      <alignment horizontal="center" readingOrder="0" shrinkToFit="0" vertical="center" wrapText="0"/>
    </xf>
    <xf borderId="1" fillId="0" fontId="35" numFmtId="164" xfId="0" applyAlignment="1" applyBorder="1" applyFont="1" applyNumberFormat="1">
      <alignment horizontal="center" readingOrder="0" shrinkToFit="0" vertical="center" wrapText="0"/>
    </xf>
    <xf borderId="2" fillId="0" fontId="5" numFmtId="0" xfId="0" applyAlignment="1" applyBorder="1" applyFont="1">
      <alignment readingOrder="0" vertical="center"/>
    </xf>
    <xf borderId="2" fillId="3" fontId="5" numFmtId="174" xfId="0" applyAlignment="1" applyBorder="1" applyFont="1" applyNumberFormat="1">
      <alignment horizontal="center" readingOrder="0" shrinkToFit="0" vertical="center" wrapText="0"/>
    </xf>
    <xf borderId="2" fillId="0" fontId="47" numFmtId="174" xfId="0" applyAlignment="1" applyBorder="1" applyFont="1" applyNumberFormat="1">
      <alignment horizontal="center" readingOrder="0" vertical="center"/>
    </xf>
    <xf borderId="3" fillId="0" fontId="48" numFmtId="49" xfId="0" applyAlignment="1" applyBorder="1" applyFont="1" applyNumberFormat="1">
      <alignment horizontal="center" readingOrder="0" shrinkToFit="0" vertical="center" wrapText="0"/>
    </xf>
    <xf borderId="2" fillId="8" fontId="5" numFmtId="0" xfId="0" applyAlignment="1" applyBorder="1" applyFont="1">
      <alignment readingOrder="0" shrinkToFit="0" vertical="center" wrapText="0"/>
    </xf>
    <xf borderId="1" fillId="0" fontId="21" numFmtId="0" xfId="0" applyAlignment="1" applyBorder="1" applyFont="1">
      <alignment horizontal="center" shrinkToFit="0" vertical="center" wrapText="0"/>
    </xf>
    <xf borderId="1" fillId="0" fontId="21" numFmtId="164" xfId="0" applyAlignment="1" applyBorder="1" applyFont="1" applyNumberFormat="1">
      <alignment horizontal="center" readingOrder="0" shrinkToFit="0" vertical="center" wrapText="0"/>
    </xf>
    <xf borderId="3" fillId="5" fontId="49" numFmtId="0" xfId="0" applyAlignment="1" applyBorder="1" applyFont="1">
      <alignment horizontal="center" readingOrder="0" shrinkToFit="0" vertical="center" wrapText="0"/>
    </xf>
    <xf borderId="1" fillId="3" fontId="5" numFmtId="165" xfId="0" applyAlignment="1" applyBorder="1" applyFont="1" applyNumberFormat="1">
      <alignment horizontal="center" readingOrder="0" vertical="center"/>
    </xf>
    <xf borderId="3" fillId="0" fontId="50" numFmtId="0" xfId="0" applyAlignment="1" applyBorder="1" applyFont="1">
      <alignment horizontal="center" readingOrder="0" shrinkToFit="0" vertical="center" wrapText="0"/>
    </xf>
    <xf borderId="1" fillId="3" fontId="35" numFmtId="165" xfId="0" applyAlignment="1" applyBorder="1" applyFont="1" applyNumberFormat="1">
      <alignment horizontal="center" readingOrder="0" vertical="center"/>
    </xf>
    <xf borderId="1" fillId="0" fontId="35" numFmtId="49" xfId="0" applyAlignment="1" applyBorder="1" applyFont="1" applyNumberFormat="1">
      <alignment horizontal="center" readingOrder="0" vertical="center"/>
    </xf>
    <xf borderId="1" fillId="0" fontId="51" numFmtId="164" xfId="0" applyAlignment="1" applyBorder="1" applyFont="1" applyNumberFormat="1">
      <alignment horizontal="center" readingOrder="0" shrinkToFit="0" vertical="center" wrapText="0"/>
    </xf>
    <xf borderId="2" fillId="3" fontId="21" numFmtId="164" xfId="0" applyAlignment="1" applyBorder="1" applyFont="1" applyNumberFormat="1">
      <alignment horizontal="center" readingOrder="0" shrinkToFit="0" vertical="center" wrapText="0"/>
    </xf>
    <xf borderId="3" fillId="0" fontId="52" numFmtId="0" xfId="0" applyAlignment="1" applyBorder="1" applyFont="1">
      <alignment horizontal="center" readingOrder="0" shrinkToFit="0" vertical="center" wrapText="0"/>
    </xf>
    <xf borderId="2" fillId="3" fontId="5" numFmtId="0" xfId="0" applyAlignment="1" applyBorder="1" applyFont="1">
      <alignment readingOrder="0" shrinkToFit="0" vertical="center" wrapText="0"/>
    </xf>
    <xf borderId="3" fillId="0" fontId="10" numFmtId="0" xfId="0" applyAlignment="1" applyBorder="1" applyFont="1">
      <alignment horizontal="center" readingOrder="0" shrinkToFit="0" vertical="center" wrapText="0"/>
    </xf>
    <xf borderId="1" fillId="0" fontId="53" numFmtId="164" xfId="0" applyAlignment="1" applyBorder="1" applyFont="1" applyNumberFormat="1">
      <alignment horizontal="center" readingOrder="0" shrinkToFit="0" vertical="center" wrapText="0"/>
    </xf>
    <xf borderId="1" fillId="25" fontId="23" numFmtId="0" xfId="0" applyAlignment="1" applyBorder="1" applyFill="1" applyFont="1">
      <alignment horizontal="center" vertical="center"/>
    </xf>
    <xf borderId="1" fillId="4" fontId="5" numFmtId="0" xfId="0" applyAlignment="1" applyBorder="1" applyFont="1">
      <alignment horizontal="center" readingOrder="0" shrinkToFit="0" vertical="center" wrapText="0"/>
    </xf>
    <xf borderId="3" fillId="0" fontId="54" numFmtId="49" xfId="0" applyAlignment="1" applyBorder="1" applyFont="1" applyNumberFormat="1">
      <alignment horizontal="center" readingOrder="0" shrinkToFit="0" vertical="center" wrapText="0"/>
    </xf>
    <xf borderId="2" fillId="0" fontId="21" numFmtId="165" xfId="0" applyAlignment="1" applyBorder="1" applyFont="1" applyNumberFormat="1">
      <alignment horizontal="center" readingOrder="0" vertical="center"/>
    </xf>
    <xf borderId="1" fillId="3" fontId="5" numFmtId="0" xfId="0" applyAlignment="1" applyBorder="1" applyFont="1">
      <alignment horizontal="center" readingOrder="0" shrinkToFit="0" vertical="center" wrapText="0"/>
    </xf>
    <xf borderId="2" fillId="3" fontId="5" numFmtId="0" xfId="0" applyAlignment="1" applyBorder="1" applyFont="1">
      <alignment horizontal="center" readingOrder="0" shrinkToFit="0" vertical="center" wrapText="0"/>
    </xf>
    <xf borderId="2" fillId="0" fontId="21" numFmtId="49" xfId="0" applyAlignment="1" applyBorder="1" applyFont="1" applyNumberFormat="1">
      <alignment horizontal="center" vertical="center"/>
    </xf>
    <xf borderId="2" fillId="0" fontId="5" numFmtId="49" xfId="0" applyAlignment="1" applyBorder="1" applyFont="1" applyNumberFormat="1">
      <alignment horizontal="center"/>
    </xf>
    <xf borderId="2" fillId="26" fontId="21" numFmtId="0" xfId="0" applyAlignment="1" applyBorder="1" applyFill="1" applyFont="1">
      <alignment horizontal="center" readingOrder="0" shrinkToFit="0" vertical="center" wrapText="0"/>
    </xf>
    <xf borderId="2" fillId="0" fontId="21" numFmtId="0" xfId="0" applyAlignment="1" applyBorder="1" applyFont="1">
      <alignment horizontal="center" readingOrder="0" vertical="center"/>
    </xf>
    <xf borderId="1" fillId="0" fontId="21" numFmtId="174" xfId="0" applyAlignment="1" applyBorder="1" applyFont="1" applyNumberFormat="1">
      <alignment horizontal="center" readingOrder="0" vertical="center"/>
    </xf>
    <xf borderId="2" fillId="0" fontId="21" numFmtId="49" xfId="0" applyAlignment="1" applyBorder="1" applyFont="1" applyNumberFormat="1">
      <alignment horizontal="center"/>
    </xf>
    <xf borderId="1" fillId="0" fontId="5" numFmtId="0" xfId="0" applyAlignment="1" applyBorder="1" applyFont="1">
      <alignment readingOrder="0" shrinkToFit="0" vertical="center" wrapText="0"/>
    </xf>
    <xf borderId="2" fillId="5" fontId="5" numFmtId="0" xfId="0" applyAlignment="1" applyBorder="1" applyFont="1">
      <alignment horizontal="center" shrinkToFit="0" vertical="center" wrapText="0"/>
    </xf>
    <xf borderId="1" fillId="0" fontId="5" numFmtId="164" xfId="0" applyAlignment="1" applyBorder="1" applyFont="1" applyNumberFormat="1">
      <alignment horizontal="center" readingOrder="0" shrinkToFit="0" vertical="center" wrapText="0"/>
    </xf>
    <xf borderId="2" fillId="0" fontId="55" numFmtId="49" xfId="0" applyAlignment="1" applyBorder="1" applyFont="1" applyNumberFormat="1">
      <alignment horizontal="center" readingOrder="0" shrinkToFit="0" vertical="center" wrapText="0"/>
    </xf>
    <xf borderId="0" fillId="0" fontId="56" numFmtId="0" xfId="0" applyAlignment="1" applyFont="1">
      <alignment readingOrder="0"/>
    </xf>
    <xf borderId="1" fillId="0" fontId="57" numFmtId="172" xfId="0" applyAlignment="1" applyBorder="1" applyFont="1" applyNumberFormat="1">
      <alignment horizontal="center" readingOrder="0" vertical="center"/>
    </xf>
    <xf borderId="2" fillId="0" fontId="58" numFmtId="164" xfId="0" applyAlignment="1" applyBorder="1" applyFont="1" applyNumberFormat="1">
      <alignment horizontal="center" readingOrder="0" shrinkToFit="0" vertical="center" wrapText="0"/>
    </xf>
    <xf borderId="2" fillId="0" fontId="59" numFmtId="49" xfId="0" applyAlignment="1" applyBorder="1" applyFont="1" applyNumberFormat="1">
      <alignment horizontal="center" readingOrder="0" shrinkToFit="0" vertical="center" wrapText="0"/>
    </xf>
    <xf borderId="3" fillId="0" fontId="60" numFmtId="49" xfId="0" applyAlignment="1" applyBorder="1" applyFont="1" applyNumberFormat="1">
      <alignment horizontal="center" readingOrder="0" shrinkToFit="0" vertical="center" wrapText="0"/>
    </xf>
    <xf borderId="1" fillId="0" fontId="6" numFmtId="0" xfId="0" applyAlignment="1" applyBorder="1" applyFont="1">
      <alignment horizontal="left" readingOrder="0" shrinkToFit="0" vertical="center" wrapText="1"/>
    </xf>
    <xf borderId="1" fillId="0" fontId="5" numFmtId="0" xfId="0" applyAlignment="1" applyBorder="1" applyFont="1">
      <alignment horizontal="center" shrinkToFit="0" vertical="center" wrapText="0"/>
    </xf>
    <xf borderId="1" fillId="3" fontId="5" numFmtId="172" xfId="0" applyAlignment="1" applyBorder="1" applyFont="1" applyNumberFormat="1">
      <alignment horizontal="center" readingOrder="0" vertical="center"/>
    </xf>
    <xf borderId="0" fillId="0" fontId="38" numFmtId="0" xfId="0" applyFont="1"/>
    <xf borderId="2" fillId="5" fontId="21" numFmtId="0" xfId="0" applyAlignment="1" applyBorder="1" applyFont="1">
      <alignment horizontal="center" shrinkToFit="0" vertical="center" wrapText="0"/>
    </xf>
    <xf borderId="2" fillId="0" fontId="21" numFmtId="173" xfId="0" applyAlignment="1" applyBorder="1" applyFont="1" applyNumberFormat="1">
      <alignment horizontal="center" readingOrder="0" shrinkToFit="0" vertical="center" wrapText="0"/>
    </xf>
    <xf borderId="1" fillId="8" fontId="21" numFmtId="0" xfId="0" applyAlignment="1" applyBorder="1" applyFont="1">
      <alignment horizontal="center" readingOrder="0" shrinkToFit="0" vertical="center" wrapText="0"/>
    </xf>
    <xf borderId="3" fillId="5" fontId="61" numFmtId="0" xfId="0" applyAlignment="1" applyBorder="1" applyFont="1">
      <alignment horizontal="center" readingOrder="0" shrinkToFit="0" vertical="center" wrapText="0"/>
    </xf>
    <xf borderId="2" fillId="0" fontId="62" numFmtId="165" xfId="0" applyAlignment="1" applyBorder="1" applyFont="1" applyNumberFormat="1">
      <alignment horizontal="center" readingOrder="0" vertical="center"/>
    </xf>
    <xf borderId="2" fillId="3" fontId="5" numFmtId="165" xfId="0" applyAlignment="1" applyBorder="1" applyFont="1" applyNumberFormat="1">
      <alignment horizontal="center" readingOrder="0" vertical="center"/>
    </xf>
    <xf borderId="1" fillId="0" fontId="63" numFmtId="172" xfId="0" applyAlignment="1" applyBorder="1" applyFont="1" applyNumberFormat="1">
      <alignment horizontal="center" readingOrder="0" shrinkToFit="0" vertical="center" wrapText="0"/>
    </xf>
    <xf borderId="2" fillId="3" fontId="5" numFmtId="172" xfId="0" applyAlignment="1" applyBorder="1" applyFont="1" applyNumberFormat="1">
      <alignment horizontal="center" readingOrder="0" shrinkToFit="0" vertical="center" wrapText="0"/>
    </xf>
    <xf borderId="0" fillId="0" fontId="10" numFmtId="49" xfId="0" applyAlignment="1" applyFont="1" applyNumberFormat="1">
      <alignment horizontal="center" readingOrder="0" shrinkToFit="0" vertical="center" wrapText="0"/>
    </xf>
    <xf borderId="2" fillId="0" fontId="21" numFmtId="172" xfId="0" applyAlignment="1" applyBorder="1" applyFont="1" applyNumberFormat="1">
      <alignment horizontal="center" readingOrder="0" vertical="center"/>
    </xf>
    <xf borderId="2" fillId="8" fontId="21" numFmtId="0" xfId="0" applyAlignment="1" applyBorder="1" applyFont="1">
      <alignment horizontal="center" readingOrder="0" shrinkToFit="0" vertical="center" wrapText="0"/>
    </xf>
    <xf borderId="2" fillId="0" fontId="64" numFmtId="164" xfId="0" applyAlignment="1" applyBorder="1" applyFont="1" applyNumberFormat="1">
      <alignment horizontal="center" readingOrder="0" shrinkToFit="0" vertical="center" wrapText="0"/>
    </xf>
    <xf borderId="2" fillId="3" fontId="5" numFmtId="172" xfId="0" applyAlignment="1" applyBorder="1" applyFont="1" applyNumberFormat="1">
      <alignment horizontal="center" readingOrder="0" vertical="center"/>
    </xf>
    <xf borderId="2" fillId="12" fontId="21" numFmtId="0" xfId="0" applyAlignment="1" applyBorder="1" applyFont="1">
      <alignment horizontal="center" readingOrder="0" shrinkToFit="0" vertical="center" wrapText="0"/>
    </xf>
    <xf borderId="0" fillId="0" fontId="65" numFmtId="0" xfId="0" applyAlignment="1" applyFont="1">
      <alignment horizontal="left" readingOrder="0" shrinkToFit="0" vertical="center" wrapText="1"/>
    </xf>
    <xf borderId="0" fillId="0" fontId="5" numFmtId="0" xfId="0" applyAlignment="1" applyFont="1">
      <alignment readingOrder="0" shrinkToFit="0" vertical="center" wrapText="0"/>
    </xf>
    <xf borderId="0" fillId="0" fontId="66" numFmtId="0" xfId="0" applyAlignment="1" applyFont="1">
      <alignment horizontal="left" readingOrder="0" shrinkToFit="0" vertical="center" wrapText="1"/>
    </xf>
    <xf borderId="1" fillId="0" fontId="67" numFmtId="49" xfId="0" applyAlignment="1" applyBorder="1" applyFont="1" applyNumberFormat="1">
      <alignment horizontal="left" shrinkToFit="0" vertical="center" wrapText="1"/>
    </xf>
    <xf borderId="1" fillId="0" fontId="20" numFmtId="1" xfId="0" applyAlignment="1" applyBorder="1" applyFont="1" applyNumberFormat="1">
      <alignment horizontal="left" shrinkToFit="0" vertical="center" wrapText="1"/>
    </xf>
    <xf borderId="1" fillId="0" fontId="20" numFmtId="1" xfId="0" applyAlignment="1" applyBorder="1" applyFont="1" applyNumberFormat="1">
      <alignment horizontal="left" readingOrder="0" vertical="center"/>
    </xf>
    <xf borderId="2" fillId="27" fontId="35" numFmtId="0" xfId="0" applyAlignment="1" applyBorder="1" applyFill="1" applyFont="1">
      <alignment readingOrder="0" shrinkToFit="0" vertical="center" wrapText="0"/>
    </xf>
    <xf borderId="2" fillId="0" fontId="35" numFmtId="175" xfId="0" applyAlignment="1" applyBorder="1" applyFont="1" applyNumberFormat="1">
      <alignment horizontal="center" readingOrder="0" shrinkToFit="0" vertical="center" wrapText="0"/>
    </xf>
    <xf borderId="2" fillId="3" fontId="35" numFmtId="175" xfId="0" applyAlignment="1" applyBorder="1" applyFont="1" applyNumberFormat="1">
      <alignment horizontal="center" readingOrder="0" shrinkToFit="0" vertical="center" wrapText="0"/>
    </xf>
    <xf borderId="2" fillId="0" fontId="36" numFmtId="0" xfId="0" applyAlignment="1" applyBorder="1" applyFont="1">
      <alignment horizontal="center" readingOrder="0" vertical="center"/>
    </xf>
    <xf borderId="3" fillId="5" fontId="35" numFmtId="49" xfId="0" applyAlignment="1" applyBorder="1" applyFont="1" applyNumberFormat="1">
      <alignment horizontal="left" readingOrder="0" shrinkToFit="0" vertical="center" wrapText="0"/>
    </xf>
    <xf borderId="3" fillId="5" fontId="35" numFmtId="49" xfId="0" applyAlignment="1" applyBorder="1" applyFont="1" applyNumberFormat="1">
      <alignment horizontal="center" readingOrder="0" shrinkToFit="0" vertical="center" wrapText="0"/>
    </xf>
    <xf borderId="2" fillId="28" fontId="35" numFmtId="0" xfId="0" applyAlignment="1" applyBorder="1" applyFill="1" applyFont="1">
      <alignment readingOrder="0" shrinkToFit="0" vertical="center" wrapText="0"/>
    </xf>
    <xf borderId="3" fillId="0" fontId="35" numFmtId="172" xfId="0" applyAlignment="1" applyBorder="1" applyFont="1" applyNumberFormat="1">
      <alignment horizontal="center" readingOrder="0" shrinkToFit="0" vertical="center" wrapText="0"/>
    </xf>
    <xf borderId="2" fillId="5" fontId="68" numFmtId="164" xfId="0" applyAlignment="1" applyBorder="1" applyFont="1" applyNumberFormat="1">
      <alignment horizontal="center" readingOrder="0" shrinkToFit="0" vertical="center" wrapText="0"/>
    </xf>
    <xf borderId="0" fillId="0" fontId="19" numFmtId="0" xfId="0" applyFont="1"/>
    <xf borderId="1" fillId="29" fontId="35" numFmtId="0" xfId="0" applyAlignment="1" applyBorder="1" applyFill="1" applyFont="1">
      <alignment horizontal="left" readingOrder="0" shrinkToFit="0" vertical="center" wrapText="1"/>
    </xf>
    <xf borderId="1" fillId="0" fontId="35" numFmtId="0" xfId="0" applyAlignment="1" applyBorder="1" applyFont="1">
      <alignment vertical="center"/>
    </xf>
    <xf borderId="1" fillId="5" fontId="35" numFmtId="49" xfId="0" applyAlignment="1" applyBorder="1" applyFont="1" applyNumberFormat="1">
      <alignment horizontal="center" readingOrder="0" shrinkToFit="0" vertical="center" wrapText="0"/>
    </xf>
    <xf borderId="3" fillId="0" fontId="35" numFmtId="0" xfId="0" applyAlignment="1" applyBorder="1" applyFont="1">
      <alignment horizontal="left" readingOrder="0" shrinkToFit="0" vertical="center" wrapText="0"/>
    </xf>
    <xf borderId="3" fillId="5" fontId="35" numFmtId="49" xfId="0" applyAlignment="1" applyBorder="1" applyFont="1" applyNumberFormat="1">
      <alignment horizontal="center" readingOrder="0" shrinkToFit="0" vertical="center" wrapText="0"/>
    </xf>
    <xf borderId="2" fillId="29" fontId="35" numFmtId="0" xfId="0" applyAlignment="1" applyBorder="1" applyFont="1">
      <alignment horizontal="right" readingOrder="0" shrinkToFit="0" vertical="center" wrapText="0"/>
    </xf>
    <xf borderId="2" fillId="0" fontId="35" numFmtId="0" xfId="0" applyAlignment="1" applyBorder="1" applyFont="1">
      <alignment horizontal="center" vertical="center"/>
    </xf>
    <xf borderId="2" fillId="4" fontId="35" numFmtId="0" xfId="0" applyAlignment="1" applyBorder="1" applyFont="1">
      <alignment horizontal="right" readingOrder="0" shrinkToFit="0" vertical="center" wrapText="0"/>
    </xf>
    <xf borderId="2" fillId="30" fontId="35" numFmtId="0" xfId="0" applyAlignment="1" applyBorder="1" applyFill="1" applyFont="1">
      <alignment readingOrder="0" shrinkToFit="0" vertical="center" wrapText="0"/>
    </xf>
    <xf borderId="2" fillId="0" fontId="35" numFmtId="49" xfId="0" applyAlignment="1" applyBorder="1" applyFont="1" applyNumberFormat="1">
      <alignment horizontal="center" readingOrder="0" shrinkToFit="0" vertical="center" wrapText="0"/>
    </xf>
    <xf borderId="2" fillId="5" fontId="35" numFmtId="49" xfId="0" applyAlignment="1" applyBorder="1" applyFont="1" applyNumberFormat="1">
      <alignment horizontal="center" readingOrder="0" shrinkToFit="0" vertical="center" wrapText="0"/>
    </xf>
    <xf borderId="2" fillId="2" fontId="35" numFmtId="0" xfId="0" applyAlignment="1" applyBorder="1" applyFont="1">
      <alignment readingOrder="0" shrinkToFit="0" vertical="center" wrapText="0"/>
    </xf>
    <xf borderId="2" fillId="6" fontId="35" numFmtId="0" xfId="0" applyAlignment="1" applyBorder="1" applyFont="1">
      <alignment readingOrder="0" shrinkToFit="0" vertical="center" wrapText="0"/>
    </xf>
    <xf borderId="2" fillId="26" fontId="35" numFmtId="164" xfId="0" applyAlignment="1" applyBorder="1" applyFont="1" applyNumberFormat="1">
      <alignment horizontal="center" readingOrder="0" shrinkToFit="0" vertical="center" wrapText="0"/>
    </xf>
    <xf borderId="1" fillId="5" fontId="35" numFmtId="0" xfId="0" applyAlignment="1" applyBorder="1" applyFont="1">
      <alignment horizontal="center" readingOrder="0" shrinkToFit="0" vertical="center" wrapText="0"/>
    </xf>
    <xf borderId="2" fillId="31" fontId="35" numFmtId="0" xfId="0" applyAlignment="1" applyBorder="1" applyFill="1" applyFont="1">
      <alignment readingOrder="0" shrinkToFit="0" vertical="center" wrapText="0"/>
    </xf>
    <xf borderId="2" fillId="30" fontId="21" numFmtId="0" xfId="0" applyAlignment="1" applyBorder="1" applyFont="1">
      <alignment readingOrder="0" shrinkToFit="0" vertical="center" wrapText="0"/>
    </xf>
    <xf borderId="3" fillId="5" fontId="21" numFmtId="49" xfId="0" applyAlignment="1" applyBorder="1" applyFont="1" applyNumberFormat="1">
      <alignment horizontal="center" readingOrder="0" shrinkToFit="0" vertical="center" wrapText="0"/>
    </xf>
    <xf borderId="2" fillId="29" fontId="21" numFmtId="0" xfId="0" applyAlignment="1" applyBorder="1" applyFont="1">
      <alignment readingOrder="0" shrinkToFit="0" vertical="center" wrapText="0"/>
    </xf>
    <xf borderId="3" fillId="5" fontId="21" numFmtId="0" xfId="0" applyAlignment="1" applyBorder="1" applyFont="1">
      <alignment horizontal="center" readingOrder="0" vertical="center"/>
    </xf>
    <xf borderId="2" fillId="29" fontId="35" numFmtId="0" xfId="0" applyAlignment="1" applyBorder="1" applyFont="1">
      <alignment readingOrder="0" shrinkToFit="0" vertical="center" wrapText="0"/>
    </xf>
    <xf borderId="0" fillId="0" fontId="35" numFmtId="49" xfId="0" applyAlignment="1" applyFont="1" applyNumberFormat="1">
      <alignment horizontal="center" readingOrder="0" shrinkToFit="0" vertical="center" wrapText="0"/>
    </xf>
    <xf borderId="2" fillId="5" fontId="35" numFmtId="0" xfId="0" applyAlignment="1" applyBorder="1" applyFont="1">
      <alignment horizontal="center" readingOrder="0" shrinkToFit="0" vertical="center" wrapText="0"/>
    </xf>
    <xf borderId="1" fillId="0" fontId="35" numFmtId="0" xfId="0" applyAlignment="1" applyBorder="1" applyFont="1">
      <alignment horizontal="center" readingOrder="0"/>
    </xf>
    <xf borderId="3" fillId="0" fontId="35" numFmtId="0" xfId="0" applyAlignment="1" applyBorder="1" applyFont="1">
      <alignment horizontal="center" readingOrder="0" shrinkToFit="0" vertical="center" wrapText="0"/>
    </xf>
    <xf borderId="2" fillId="23" fontId="35" numFmtId="0" xfId="0" applyAlignment="1" applyBorder="1" applyFont="1">
      <alignment readingOrder="0" shrinkToFit="0" vertical="center" wrapText="0"/>
    </xf>
    <xf borderId="2" fillId="3" fontId="35" numFmtId="0" xfId="0" applyAlignment="1" applyBorder="1" applyFont="1">
      <alignment horizontal="center" readingOrder="0" shrinkToFit="0" vertical="center" wrapText="1"/>
    </xf>
    <xf borderId="2" fillId="0" fontId="69" numFmtId="3" xfId="0" applyAlignment="1" applyBorder="1" applyFont="1" applyNumberFormat="1">
      <alignment horizontal="center" readingOrder="0"/>
    </xf>
    <xf borderId="0" fillId="0" fontId="7" numFmtId="0" xfId="0" applyAlignment="1" applyFont="1">
      <alignment readingOrder="0"/>
    </xf>
    <xf borderId="2" fillId="4" fontId="35" numFmtId="49" xfId="0" applyAlignment="1" applyBorder="1" applyFont="1" applyNumberFormat="1">
      <alignment horizontal="center" readingOrder="0" shrinkToFit="0" vertical="center" wrapText="0"/>
    </xf>
    <xf borderId="3" fillId="4" fontId="35" numFmtId="49" xfId="0" applyAlignment="1" applyBorder="1" applyFont="1" applyNumberFormat="1">
      <alignment horizontal="left" readingOrder="0" shrinkToFit="0" vertical="center" wrapText="0"/>
    </xf>
    <xf borderId="2" fillId="32" fontId="35" numFmtId="0" xfId="0" applyAlignment="1" applyBorder="1" applyFill="1" applyFont="1">
      <alignment horizontal="center" readingOrder="0" shrinkToFit="0" vertical="center" wrapText="0"/>
    </xf>
    <xf borderId="2" fillId="32" fontId="35" numFmtId="0" xfId="0" applyAlignment="1" applyBorder="1" applyFont="1">
      <alignment readingOrder="0" shrinkToFit="0" vertical="center" wrapText="0"/>
    </xf>
    <xf borderId="2" fillId="8" fontId="35" numFmtId="0" xfId="0" applyAlignment="1" applyBorder="1" applyFont="1">
      <alignment readingOrder="0" vertical="center"/>
    </xf>
    <xf borderId="3" fillId="0" fontId="35" numFmtId="49" xfId="0" applyAlignment="1" applyBorder="1" applyFont="1" applyNumberFormat="1">
      <alignment horizontal="center" readingOrder="0" shrinkToFit="0" vertical="center" wrapText="0"/>
    </xf>
    <xf borderId="0" fillId="0" fontId="38" numFmtId="0" xfId="0" applyAlignment="1" applyFont="1">
      <alignment readingOrder="0"/>
    </xf>
    <xf borderId="0" fillId="8" fontId="35" numFmtId="0" xfId="0" applyAlignment="1" applyFont="1">
      <alignment readingOrder="0" shrinkToFit="0" vertical="center" wrapText="0"/>
    </xf>
    <xf borderId="1" fillId="0" fontId="70" numFmtId="165" xfId="0" applyAlignment="1" applyBorder="1" applyFont="1" applyNumberFormat="1">
      <alignment horizontal="center" readingOrder="0" vertical="center"/>
    </xf>
    <xf borderId="2" fillId="3" fontId="21" numFmtId="175" xfId="0" applyAlignment="1" applyBorder="1" applyFont="1" applyNumberFormat="1">
      <alignment horizontal="center" readingOrder="0" shrinkToFit="0" vertical="center" wrapText="0"/>
    </xf>
    <xf borderId="3" fillId="5" fontId="21" numFmtId="49" xfId="0" applyAlignment="1" applyBorder="1" applyFont="1" applyNumberFormat="1">
      <alignment horizontal="center" readingOrder="0" shrinkToFit="0" vertical="center" wrapText="0"/>
    </xf>
    <xf borderId="2" fillId="0" fontId="35" numFmtId="49" xfId="0" applyAlignment="1" applyBorder="1" applyFont="1" applyNumberFormat="1">
      <alignment horizontal="center" readingOrder="0" vertical="center"/>
    </xf>
    <xf borderId="3" fillId="5" fontId="35" numFmtId="0" xfId="0" applyAlignment="1" applyBorder="1" applyFont="1">
      <alignment horizontal="center" readingOrder="0" shrinkToFit="0" vertical="center" wrapText="0"/>
    </xf>
    <xf borderId="1" fillId="3" fontId="35" numFmtId="175" xfId="0" applyAlignment="1" applyBorder="1" applyFont="1" applyNumberFormat="1">
      <alignment horizontal="center" readingOrder="0" shrinkToFit="0" vertical="center" wrapText="0"/>
    </xf>
    <xf borderId="3" fillId="0" fontId="35" numFmtId="49" xfId="0" applyAlignment="1" applyBorder="1" applyFont="1" applyNumberFormat="1">
      <alignment horizontal="left" readingOrder="0" shrinkToFit="0" vertical="center" wrapText="0"/>
    </xf>
    <xf borderId="0" fillId="5" fontId="71" numFmtId="49" xfId="0" applyAlignment="1" applyFont="1" applyNumberFormat="1">
      <alignment horizontal="center" readingOrder="0" shrinkToFit="0" vertical="center" wrapText="0"/>
    </xf>
    <xf borderId="3" fillId="0" fontId="72" numFmtId="0" xfId="0" applyAlignment="1" applyBorder="1" applyFont="1">
      <alignment horizontal="center" readingOrder="0" shrinkToFit="0" vertical="center" wrapText="0"/>
    </xf>
    <xf borderId="1" fillId="0" fontId="35" numFmtId="0" xfId="0" applyAlignment="1" applyBorder="1" applyFont="1">
      <alignment horizontal="left" readingOrder="0" vertical="center"/>
    </xf>
    <xf borderId="3" fillId="5" fontId="35" numFmtId="0" xfId="0" applyAlignment="1" applyBorder="1" applyFont="1">
      <alignment horizontal="center" readingOrder="0" shrinkToFit="0" vertical="center" wrapText="1"/>
    </xf>
    <xf borderId="1" fillId="7" fontId="35" numFmtId="0" xfId="0" applyAlignment="1" applyBorder="1" applyFont="1">
      <alignment horizontal="left" readingOrder="0" shrinkToFit="0" vertical="center" wrapText="1"/>
    </xf>
    <xf borderId="3" fillId="5" fontId="35" numFmtId="49" xfId="0" applyAlignment="1" applyBorder="1" applyFont="1" applyNumberFormat="1">
      <alignment horizontal="center" readingOrder="0" shrinkToFit="0" vertical="center" wrapText="0"/>
    </xf>
    <xf borderId="2" fillId="4" fontId="35" numFmtId="0" xfId="0" applyAlignment="1" applyBorder="1" applyFont="1">
      <alignment readingOrder="0" shrinkToFit="0" vertical="center" wrapText="0"/>
    </xf>
    <xf borderId="2" fillId="33" fontId="35" numFmtId="0" xfId="0" applyAlignment="1" applyBorder="1" applyFill="1" applyFont="1">
      <alignment readingOrder="0" shrinkToFit="0" vertical="center" wrapText="0"/>
    </xf>
    <xf borderId="1" fillId="5" fontId="35" numFmtId="49" xfId="0" applyAlignment="1" applyBorder="1" applyFont="1" applyNumberFormat="1">
      <alignment horizontal="center" readingOrder="0" shrinkToFit="0" vertical="center" wrapText="0"/>
    </xf>
    <xf borderId="3" fillId="4" fontId="35" numFmtId="0" xfId="0" applyAlignment="1" applyBorder="1" applyFont="1">
      <alignment horizontal="left" readingOrder="0" shrinkToFit="0" vertical="center" wrapText="0"/>
    </xf>
    <xf borderId="0" fillId="0" fontId="35" numFmtId="0" xfId="0" applyAlignment="1" applyFont="1">
      <alignment horizontal="center" readingOrder="0" shrinkToFit="0" vertical="center" wrapText="0"/>
    </xf>
    <xf borderId="2" fillId="0" fontId="35" numFmtId="0" xfId="0" applyAlignment="1" applyBorder="1" applyFont="1">
      <alignment horizontal="left" readingOrder="0" shrinkToFit="0" vertical="center" wrapText="0"/>
    </xf>
    <xf borderId="2" fillId="3" fontId="35" numFmtId="165" xfId="0" applyAlignment="1" applyBorder="1" applyFont="1" applyNumberFormat="1">
      <alignment horizontal="center" readingOrder="0" vertical="center"/>
    </xf>
    <xf borderId="1" fillId="34" fontId="35" numFmtId="0" xfId="0" applyAlignment="1" applyBorder="1" applyFill="1" applyFont="1">
      <alignment horizontal="center" readingOrder="0" shrinkToFit="0" vertical="center" wrapText="0"/>
    </xf>
    <xf borderId="1" fillId="3" fontId="35" numFmtId="174" xfId="0" applyAlignment="1" applyBorder="1" applyFont="1" applyNumberFormat="1">
      <alignment horizontal="center" readingOrder="0" vertical="center"/>
    </xf>
    <xf borderId="2" fillId="3" fontId="21" numFmtId="165" xfId="0" applyAlignment="1" applyBorder="1" applyFont="1" applyNumberFormat="1">
      <alignment horizontal="center" readingOrder="0" vertical="center"/>
    </xf>
    <xf borderId="0" fillId="0" fontId="21" numFmtId="49" xfId="0" applyAlignment="1" applyFont="1" applyNumberFormat="1">
      <alignment horizontal="center" readingOrder="0" shrinkToFit="0" vertical="center" wrapText="0"/>
    </xf>
    <xf borderId="1" fillId="5" fontId="21" numFmtId="49" xfId="0" applyAlignment="1" applyBorder="1" applyFont="1" applyNumberFormat="1">
      <alignment horizontal="center" readingOrder="0" shrinkToFit="0" vertical="center" wrapText="0"/>
    </xf>
    <xf borderId="2" fillId="0" fontId="73" numFmtId="49" xfId="0" applyAlignment="1" applyBorder="1" applyFont="1" applyNumberFormat="1">
      <alignment horizontal="center" readingOrder="0"/>
    </xf>
    <xf borderId="1" fillId="0" fontId="21" numFmtId="0" xfId="0" applyAlignment="1" applyBorder="1" applyFont="1">
      <alignment horizontal="center" readingOrder="0" vertical="center"/>
    </xf>
    <xf borderId="1" fillId="5" fontId="21" numFmtId="0" xfId="0" applyAlignment="1" applyBorder="1" applyFont="1">
      <alignment horizontal="center" readingOrder="0" shrinkToFit="0" vertical="center" wrapText="0"/>
    </xf>
    <xf borderId="1" fillId="4" fontId="35" numFmtId="0" xfId="0" applyAlignment="1" applyBorder="1" applyFont="1">
      <alignment horizontal="left" readingOrder="0" shrinkToFit="0" vertical="center" wrapText="1"/>
    </xf>
    <xf borderId="2" fillId="0" fontId="35" numFmtId="0" xfId="0" applyAlignment="1" applyBorder="1" applyFont="1">
      <alignment horizontal="left" readingOrder="0" shrinkToFit="0" vertical="center" wrapText="1"/>
    </xf>
    <xf borderId="1" fillId="8" fontId="35" numFmtId="0" xfId="0" applyAlignment="1" applyBorder="1" applyFont="1">
      <alignment readingOrder="0" shrinkToFit="0" vertical="center" wrapText="0"/>
    </xf>
    <xf borderId="2" fillId="8" fontId="35" numFmtId="0" xfId="0" applyAlignment="1" applyBorder="1" applyFont="1">
      <alignment horizontal="right" readingOrder="0" shrinkToFit="0" vertical="center" wrapText="0"/>
    </xf>
    <xf borderId="2" fillId="8" fontId="35" numFmtId="0" xfId="0" applyAlignment="1" applyBorder="1" applyFont="1">
      <alignment horizontal="center" readingOrder="0" shrinkToFit="0" vertical="center" wrapText="0"/>
    </xf>
    <xf borderId="2" fillId="8" fontId="35" numFmtId="0" xfId="0" applyAlignment="1" applyBorder="1" applyFont="1">
      <alignment horizontal="left" readingOrder="0" shrinkToFit="0" vertical="center" wrapText="0"/>
    </xf>
    <xf borderId="1" fillId="8" fontId="35" numFmtId="0" xfId="0" applyAlignment="1" applyBorder="1" applyFont="1">
      <alignment horizontal="left" readingOrder="0" shrinkToFit="0" vertical="center" wrapText="1"/>
    </xf>
    <xf borderId="2" fillId="8" fontId="35" numFmtId="0" xfId="0" applyAlignment="1" applyBorder="1" applyFont="1">
      <alignment horizontal="left" readingOrder="0" shrinkToFit="0" vertical="center" wrapText="1"/>
    </xf>
    <xf borderId="1" fillId="8" fontId="35" numFmtId="0" xfId="0" applyAlignment="1" applyBorder="1" applyFont="1">
      <alignment readingOrder="0" vertical="center"/>
    </xf>
    <xf borderId="2" fillId="8" fontId="35" numFmtId="164" xfId="0" applyAlignment="1" applyBorder="1" applyFont="1" applyNumberFormat="1">
      <alignment horizontal="center" readingOrder="0" shrinkToFit="0" vertical="center" wrapText="0"/>
    </xf>
    <xf borderId="2" fillId="8" fontId="35" numFmtId="0" xfId="0" applyAlignment="1" applyBorder="1" applyFont="1">
      <alignment horizontal="left" readingOrder="0" vertical="center"/>
    </xf>
    <xf borderId="1" fillId="8" fontId="74" numFmtId="165" xfId="0" applyAlignment="1" applyBorder="1" applyFont="1" applyNumberFormat="1">
      <alignment horizontal="center" readingOrder="0" vertical="center"/>
    </xf>
    <xf borderId="2" fillId="8" fontId="35" numFmtId="165" xfId="0" applyAlignment="1" applyBorder="1" applyFont="1" applyNumberFormat="1">
      <alignment horizontal="center" readingOrder="0" vertical="center"/>
    </xf>
    <xf borderId="3" fillId="8" fontId="75" numFmtId="0" xfId="0" applyAlignment="1" applyBorder="1" applyFont="1">
      <alignment horizontal="center" readingOrder="0" shrinkToFit="0" vertical="center" wrapText="0"/>
    </xf>
    <xf borderId="3" fillId="8" fontId="35" numFmtId="165" xfId="0" applyAlignment="1" applyBorder="1" applyFont="1" applyNumberFormat="1">
      <alignment horizontal="center" readingOrder="0" shrinkToFit="0" vertical="center" wrapText="0"/>
    </xf>
    <xf borderId="3" fillId="8" fontId="35" numFmtId="0" xfId="0" applyAlignment="1" applyBorder="1" applyFont="1">
      <alignment horizontal="center" readingOrder="0" shrinkToFit="0" vertical="center" wrapText="0"/>
    </xf>
    <xf borderId="3" fillId="8" fontId="76" numFmtId="49" xfId="0" applyAlignment="1" applyBorder="1" applyFont="1" applyNumberFormat="1">
      <alignment horizontal="center" readingOrder="0" shrinkToFit="0" vertical="center" wrapText="0"/>
    </xf>
    <xf borderId="2" fillId="8" fontId="35" numFmtId="172" xfId="0" applyAlignment="1" applyBorder="1" applyFont="1" applyNumberFormat="1">
      <alignment horizontal="center" readingOrder="0" shrinkToFit="0" vertical="center" wrapText="0"/>
    </xf>
    <xf borderId="1" fillId="8" fontId="37" numFmtId="0" xfId="0" applyAlignment="1" applyBorder="1" applyFont="1">
      <alignment horizontal="center" readingOrder="0" vertical="center"/>
    </xf>
    <xf borderId="3" fillId="8" fontId="35" numFmtId="49" xfId="0" applyAlignment="1" applyBorder="1" applyFont="1" applyNumberFormat="1">
      <alignment horizontal="center" readingOrder="0" vertical="center"/>
    </xf>
    <xf borderId="3" fillId="8" fontId="35" numFmtId="0" xfId="0" applyAlignment="1" applyBorder="1" applyFont="1">
      <alignment horizontal="center" readingOrder="0" vertical="center"/>
    </xf>
    <xf borderId="2" fillId="8" fontId="35" numFmtId="0" xfId="0" applyAlignment="1" applyBorder="1" applyFont="1">
      <alignment horizontal="center" readingOrder="0" vertical="center"/>
    </xf>
    <xf borderId="1" fillId="8" fontId="35" numFmtId="9" xfId="0" applyAlignment="1" applyBorder="1" applyFont="1" applyNumberFormat="1">
      <alignment horizontal="right" vertical="center"/>
    </xf>
    <xf borderId="3" fillId="8" fontId="35" numFmtId="9" xfId="0" applyAlignment="1" applyBorder="1" applyFont="1" applyNumberFormat="1">
      <alignment horizontal="center" readingOrder="0" shrinkToFit="0" vertical="center" wrapText="0"/>
    </xf>
    <xf borderId="2" fillId="8" fontId="35" numFmtId="164" xfId="0" applyAlignment="1" applyBorder="1" applyFont="1" applyNumberFormat="1">
      <alignment horizontal="center" readingOrder="0" shrinkToFit="0" vertical="center" wrapText="0"/>
    </xf>
    <xf borderId="2" fillId="8" fontId="35" numFmtId="49" xfId="0" applyAlignment="1" applyBorder="1" applyFont="1" applyNumberFormat="1">
      <alignment horizontal="center" readingOrder="0" shrinkToFit="0" vertical="center" wrapText="0"/>
    </xf>
    <xf borderId="2" fillId="8" fontId="77" numFmtId="49" xfId="0" applyAlignment="1" applyBorder="1" applyFont="1" applyNumberFormat="1">
      <alignment horizontal="center" readingOrder="0" shrinkToFit="0" vertical="center" wrapText="0"/>
    </xf>
    <xf borderId="2" fillId="8" fontId="35" numFmtId="168" xfId="0" applyAlignment="1" applyBorder="1" applyFont="1" applyNumberFormat="1">
      <alignment horizontal="center" readingOrder="0" shrinkToFit="0" vertical="center" wrapText="0"/>
    </xf>
    <xf borderId="2" fillId="8" fontId="35" numFmtId="49" xfId="0" applyAlignment="1" applyBorder="1" applyFont="1" applyNumberFormat="1">
      <alignment horizontal="center" shrinkToFit="0" vertical="center" wrapText="0"/>
    </xf>
    <xf borderId="2" fillId="8" fontId="35" numFmtId="4" xfId="0" applyAlignment="1" applyBorder="1" applyFont="1" applyNumberFormat="1">
      <alignment horizontal="center" readingOrder="0" shrinkToFit="0" vertical="center" wrapText="0"/>
    </xf>
    <xf borderId="2" fillId="8" fontId="35" numFmtId="49" xfId="0" applyAlignment="1" applyBorder="1" applyFont="1" applyNumberFormat="1">
      <alignment readingOrder="0" shrinkToFit="0" vertical="center" wrapText="0"/>
    </xf>
    <xf borderId="1" fillId="8" fontId="35" numFmtId="49" xfId="0" applyAlignment="1" applyBorder="1" applyFont="1" applyNumberFormat="1">
      <alignment horizontal="center" readingOrder="0" shrinkToFit="0" vertical="center" wrapText="0"/>
    </xf>
    <xf borderId="1" fillId="8" fontId="35" numFmtId="49" xfId="0" applyAlignment="1" applyBorder="1" applyFont="1" applyNumberFormat="1">
      <alignment horizontal="center" readingOrder="0" shrinkToFit="0" vertical="center" wrapText="0"/>
    </xf>
    <xf borderId="2" fillId="8" fontId="35" numFmtId="49" xfId="0" applyAlignment="1" applyBorder="1" applyFont="1" applyNumberFormat="1">
      <alignment horizontal="center" readingOrder="0" shrinkToFit="0" vertical="center" wrapText="0"/>
    </xf>
    <xf borderId="3" fillId="8" fontId="35" numFmtId="0" xfId="0" applyAlignment="1" applyBorder="1" applyFont="1">
      <alignment horizontal="left" readingOrder="0" shrinkToFit="0" vertical="center" wrapText="0"/>
    </xf>
    <xf borderId="1" fillId="8" fontId="35" numFmtId="49" xfId="0" applyAlignment="1" applyBorder="1" applyFont="1" applyNumberFormat="1">
      <alignment horizontal="center" readingOrder="0" shrinkToFit="0" vertical="center" wrapText="0"/>
    </xf>
    <xf borderId="1" fillId="8" fontId="35" numFmtId="169" xfId="0" applyAlignment="1" applyBorder="1" applyFont="1" applyNumberFormat="1">
      <alignment horizontal="center" readingOrder="0" shrinkToFit="0" vertical="center" wrapText="0"/>
    </xf>
    <xf borderId="1" fillId="8" fontId="38" numFmtId="0" xfId="0" applyAlignment="1" applyBorder="1" applyFont="1">
      <alignment vertical="center"/>
    </xf>
    <xf borderId="0" fillId="8" fontId="38" numFmtId="0" xfId="0" applyAlignment="1" applyFont="1">
      <alignment readingOrder="0" vertical="center"/>
    </xf>
    <xf borderId="0" fillId="8" fontId="38" numFmtId="0" xfId="0" applyAlignment="1" applyFont="1">
      <alignment vertical="center"/>
    </xf>
    <xf borderId="0" fillId="8" fontId="7" numFmtId="0" xfId="0" applyAlignment="1" applyFont="1">
      <alignment vertical="center"/>
    </xf>
    <xf borderId="1" fillId="4" fontId="35" numFmtId="0" xfId="0" applyAlignment="1" applyBorder="1" applyFont="1">
      <alignment horizontal="center" readingOrder="0" shrinkToFit="0" vertical="center" wrapText="0"/>
    </xf>
    <xf borderId="2" fillId="6" fontId="35" numFmtId="0" xfId="0" applyAlignment="1" applyBorder="1" applyFont="1">
      <alignment horizontal="center" readingOrder="0" shrinkToFit="0" vertical="center" wrapText="0"/>
    </xf>
    <xf borderId="5" fillId="35" fontId="78" numFmtId="0" xfId="0" applyAlignment="1" applyBorder="1" applyFill="1" applyFont="1">
      <alignment readingOrder="0" shrinkToFit="0" vertical="bottom" wrapText="0"/>
    </xf>
    <xf borderId="6" fillId="35" fontId="78" numFmtId="0" xfId="0" applyAlignment="1" applyBorder="1" applyFont="1">
      <alignment readingOrder="0" shrinkToFit="0" vertical="bottom" wrapText="0"/>
    </xf>
    <xf borderId="7" fillId="35" fontId="78" numFmtId="0" xfId="0" applyAlignment="1" applyBorder="1" applyFont="1">
      <alignment readingOrder="0" shrinkToFit="0" vertical="bottom" wrapText="0"/>
    </xf>
    <xf borderId="8" fillId="0" fontId="79" numFmtId="0" xfId="0" applyAlignment="1" applyBorder="1" applyFont="1">
      <alignment horizontal="right" readingOrder="0" shrinkToFit="0" vertical="bottom" wrapText="0"/>
    </xf>
    <xf borderId="9" fillId="0" fontId="79" numFmtId="0" xfId="0" applyAlignment="1" applyBorder="1" applyFont="1">
      <alignment readingOrder="0" shrinkToFit="0" vertical="bottom" wrapText="0"/>
    </xf>
    <xf borderId="9" fillId="0" fontId="80" numFmtId="0" xfId="0" applyAlignment="1" applyBorder="1" applyFont="1">
      <alignment horizontal="right" readingOrder="0" shrinkToFit="0" vertical="bottom" wrapText="0"/>
    </xf>
    <xf borderId="9" fillId="0" fontId="80" numFmtId="0" xfId="0" applyAlignment="1" applyBorder="1" applyFont="1">
      <alignment horizontal="left" readingOrder="0" shrinkToFit="0" vertical="bottom" wrapText="0"/>
    </xf>
    <xf borderId="9" fillId="0" fontId="80" numFmtId="0" xfId="0" applyAlignment="1" applyBorder="1" applyFont="1">
      <alignment readingOrder="0" shrinkToFit="0" vertical="bottom" wrapText="0"/>
    </xf>
    <xf borderId="10" fillId="0" fontId="79" numFmtId="0" xfId="0" applyAlignment="1" applyBorder="1" applyFont="1">
      <alignment readingOrder="0" shrinkToFit="0" vertical="bottom" wrapText="0"/>
    </xf>
    <xf borderId="0" fillId="0" fontId="7" numFmtId="0" xfId="0" applyAlignment="1" applyFont="1">
      <alignment horizontal="left" readingOrder="0"/>
    </xf>
    <xf borderId="11" fillId="0" fontId="80" numFmtId="0" xfId="0" applyAlignment="1" applyBorder="1" applyFont="1">
      <alignment horizontal="right" readingOrder="0" shrinkToFit="0" vertical="bottom" wrapText="0"/>
    </xf>
    <xf borderId="1" fillId="0" fontId="79" numFmtId="0" xfId="0" applyAlignment="1" applyBorder="1" applyFont="1">
      <alignment readingOrder="0" shrinkToFit="0" vertical="bottom" wrapText="0"/>
    </xf>
    <xf borderId="1" fillId="0" fontId="80" numFmtId="0" xfId="0" applyAlignment="1" applyBorder="1" applyFont="1">
      <alignment horizontal="right" readingOrder="0" shrinkToFit="0" vertical="bottom" wrapText="0"/>
    </xf>
    <xf borderId="1" fillId="0" fontId="80" numFmtId="0" xfId="0" applyAlignment="1" applyBorder="1" applyFont="1">
      <alignment horizontal="left" readingOrder="0" shrinkToFit="0" vertical="bottom" wrapText="0"/>
    </xf>
    <xf borderId="1" fillId="0" fontId="80" numFmtId="0" xfId="0" applyAlignment="1" applyBorder="1" applyFont="1">
      <alignment readingOrder="0" shrinkToFit="0" vertical="bottom" wrapText="0"/>
    </xf>
    <xf borderId="12" fillId="0" fontId="79" numFmtId="0" xfId="0" applyAlignment="1" applyBorder="1" applyFont="1">
      <alignment readingOrder="0" shrinkToFit="0" vertical="bottom" wrapText="0"/>
    </xf>
    <xf borderId="9" fillId="0" fontId="20" numFmtId="0" xfId="0" applyAlignment="1" applyBorder="1" applyFont="1">
      <alignment vertical="bottom"/>
    </xf>
    <xf borderId="11" fillId="0" fontId="79" numFmtId="0" xfId="0" applyAlignment="1" applyBorder="1" applyFont="1">
      <alignment horizontal="right" readingOrder="0" shrinkToFit="0" vertical="bottom" wrapText="0"/>
    </xf>
    <xf borderId="1" fillId="0" fontId="20" numFmtId="0" xfId="0" applyAlignment="1" applyBorder="1" applyFont="1">
      <alignment readingOrder="0" vertical="bottom"/>
    </xf>
    <xf borderId="13" fillId="0" fontId="80" numFmtId="0" xfId="0" applyAlignment="1" applyBorder="1" applyFont="1">
      <alignment horizontal="right" readingOrder="0" shrinkToFit="0" vertical="bottom" wrapText="0"/>
    </xf>
    <xf borderId="14" fillId="0" fontId="79" numFmtId="0" xfId="0" applyAlignment="1" applyBorder="1" applyFont="1">
      <alignment readingOrder="0" shrinkToFit="0" vertical="bottom" wrapText="0"/>
    </xf>
    <xf borderId="14" fillId="0" fontId="80" numFmtId="0" xfId="0" applyAlignment="1" applyBorder="1" applyFont="1">
      <alignment horizontal="right" readingOrder="0" shrinkToFit="0" vertical="bottom" wrapText="0"/>
    </xf>
    <xf borderId="14" fillId="0" fontId="80" numFmtId="0" xfId="0" applyAlignment="1" applyBorder="1" applyFont="1">
      <alignment horizontal="left" readingOrder="0" shrinkToFit="0" vertical="bottom" wrapText="0"/>
    </xf>
    <xf borderId="14" fillId="0" fontId="80" numFmtId="0" xfId="0" applyAlignment="1" applyBorder="1" applyFont="1">
      <alignment readingOrder="0" shrinkToFit="0" vertical="bottom" wrapText="0"/>
    </xf>
    <xf borderId="15" fillId="0" fontId="79" numFmtId="0" xfId="0" applyAlignment="1" applyBorder="1" applyFont="1">
      <alignment readingOrder="0" shrinkToFit="0" vertical="bottom" wrapText="0"/>
    </xf>
    <xf borderId="16" fillId="0" fontId="79" numFmtId="0" xfId="0" applyAlignment="1" applyBorder="1" applyFont="1">
      <alignment horizontal="right" readingOrder="0" vertical="bottom"/>
    </xf>
    <xf borderId="16" fillId="0" fontId="80" numFmtId="0" xfId="0" applyAlignment="1" applyBorder="1" applyFont="1">
      <alignment horizontal="right" readingOrder="0" vertical="bottom"/>
    </xf>
    <xf borderId="9" fillId="0" fontId="79" numFmtId="0" xfId="0" applyAlignment="1" applyBorder="1" applyFont="1">
      <alignment horizontal="left" readingOrder="0" shrinkToFit="0" vertical="bottom" wrapText="0"/>
    </xf>
    <xf borderId="10" fillId="0" fontId="80" numFmtId="0" xfId="0" applyAlignment="1" applyBorder="1" applyFont="1">
      <alignment readingOrder="0" shrinkToFit="0" vertical="bottom" wrapText="0"/>
    </xf>
    <xf borderId="0" fillId="0" fontId="20" numFmtId="0" xfId="0" applyAlignment="1" applyFont="1">
      <alignment vertical="bottom"/>
    </xf>
    <xf borderId="12" fillId="0" fontId="80" numFmtId="0" xfId="0" applyAlignment="1" applyBorder="1" applyFont="1">
      <alignment readingOrder="0" shrinkToFit="0" vertical="bottom" wrapText="0"/>
    </xf>
    <xf borderId="17" fillId="0" fontId="80" numFmtId="0" xfId="0" applyAlignment="1" applyBorder="1" applyFont="1">
      <alignment horizontal="right" readingOrder="0" shrinkToFit="0" vertical="bottom" wrapText="0"/>
    </xf>
    <xf borderId="18" fillId="0" fontId="79" numFmtId="0" xfId="0" applyAlignment="1" applyBorder="1" applyFont="1">
      <alignment readingOrder="0" shrinkToFit="0" vertical="bottom" wrapText="0"/>
    </xf>
    <xf borderId="18" fillId="0" fontId="80" numFmtId="0" xfId="0" applyAlignment="1" applyBorder="1" applyFont="1">
      <alignment horizontal="right" readingOrder="0" shrinkToFit="0" vertical="bottom" wrapText="0"/>
    </xf>
    <xf borderId="18" fillId="0" fontId="80" numFmtId="0" xfId="0" applyAlignment="1" applyBorder="1" applyFont="1">
      <alignment horizontal="left" readingOrder="0" shrinkToFit="0" vertical="bottom" wrapText="0"/>
    </xf>
    <xf borderId="18" fillId="0" fontId="80" numFmtId="0" xfId="0" applyAlignment="1" applyBorder="1" applyFont="1">
      <alignment readingOrder="0" shrinkToFit="0" vertical="bottom" wrapText="0"/>
    </xf>
    <xf borderId="19" fillId="0" fontId="80" numFmtId="0" xfId="0" applyAlignment="1" applyBorder="1" applyFont="1">
      <alignment readingOrder="0" shrinkToFit="0" vertical="bottom" wrapText="0"/>
    </xf>
    <xf borderId="20" fillId="0" fontId="80" numFmtId="0" xfId="0" applyAlignment="1" applyBorder="1" applyFont="1">
      <alignment horizontal="right" readingOrder="0" shrinkToFit="0" vertical="bottom" wrapText="0"/>
    </xf>
    <xf borderId="1" fillId="0" fontId="79" numFmtId="0" xfId="0" applyAlignment="1" applyBorder="1" applyFont="1">
      <alignment horizontal="right" readingOrder="0" shrinkToFit="0" vertical="bottom" wrapText="0"/>
    </xf>
    <xf borderId="21" fillId="0" fontId="79" numFmtId="0" xfId="0" applyAlignment="1" applyBorder="1" applyFont="1">
      <alignment horizontal="left" readingOrder="0" shrinkToFit="0" vertical="bottom" wrapText="0"/>
    </xf>
    <xf borderId="1" fillId="0" fontId="79" numFmtId="0" xfId="0" applyAlignment="1" applyBorder="1" applyFont="1">
      <alignment horizontal="left" readingOrder="0" shrinkToFit="0" vertical="bottom" wrapText="0"/>
    </xf>
    <xf borderId="1" fillId="8" fontId="81" numFmtId="0" xfId="0" applyAlignment="1" applyBorder="1" applyFont="1">
      <alignment readingOrder="0"/>
    </xf>
    <xf borderId="18" fillId="8" fontId="81" numFmtId="0" xfId="0" applyAlignment="1" applyBorder="1" applyFont="1">
      <alignment readingOrder="0"/>
    </xf>
    <xf borderId="0" fillId="4" fontId="19" numFmtId="0" xfId="0" applyAlignment="1" applyFont="1">
      <alignment readingOrder="0"/>
    </xf>
    <xf borderId="8" fillId="0" fontId="80" numFmtId="0" xfId="0" applyAlignment="1" applyBorder="1" applyFont="1">
      <alignment horizontal="right" readingOrder="0" shrinkToFit="0" vertical="bottom" wrapText="0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000000"/>
          <bgColor rgb="FF000000"/>
        </patternFill>
      </fill>
      <border/>
    </dxf>
    <dxf>
      <font>
        <color rgb="FFFF0000"/>
      </font>
      <fill>
        <patternFill patternType="solid">
          <fgColor rgb="FFD5A6BD"/>
          <bgColor rgb="FFD5A6BD"/>
        </patternFill>
      </fill>
      <border/>
    </dxf>
    <dxf>
      <font>
        <b/>
        <color rgb="FFFF0000"/>
      </font>
      <fill>
        <patternFill patternType="solid">
          <fgColor rgb="FFD5A6BD"/>
          <bgColor rgb="FFD5A6BD"/>
        </patternFill>
      </fill>
      <border/>
    </dxf>
    <dxf>
      <font/>
      <fill>
        <patternFill patternType="solid">
          <fgColor theme="5"/>
          <bgColor theme="5"/>
        </patternFill>
      </fill>
      <border/>
    </dxf>
    <dxf>
      <font>
        <color rgb="FFFFFFFF"/>
      </font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66</xdr:col>
      <xdr:colOff>0</xdr:colOff>
      <xdr:row>98</xdr:row>
      <xdr:rowOff>0</xdr:rowOff>
    </xdr:from>
    <xdr:ext cx="1828800" cy="54292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66</xdr:col>
      <xdr:colOff>0</xdr:colOff>
      <xdr:row>109</xdr:row>
      <xdr:rowOff>0</xdr:rowOff>
    </xdr:from>
    <xdr:ext cx="1828800" cy="54292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66</xdr:col>
      <xdr:colOff>0</xdr:colOff>
      <xdr:row>113</xdr:row>
      <xdr:rowOff>0</xdr:rowOff>
    </xdr:from>
    <xdr:ext cx="1828800" cy="54292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Rene Santana - Mariuá" id="{42abd502-2536-4728-9297-f2fed915346c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Q63" dT="2026-02-10T16:50:26.00" personId="{42abd502-2536-4728-9297-f2fed915346c}" id="{56dfac52-07ac-442d-9c44-b3c53050519e}" done="0">
    <x18tc:text xml:space="preserve">PROJETO COM BLOQUEIO BQIM, IMPOSSIBILITANDO CRIAÇÃO DE RESERVAS.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maps.app.goo.gl/m8KqAVTKCw9EdUKv8" TargetMode="External"/><Relationship Id="rId22" Type="http://schemas.openxmlformats.org/officeDocument/2006/relationships/hyperlink" Target="https://maps.app.goo.gl/Xqp9vv27MFMVDqF46" TargetMode="External"/><Relationship Id="rId21" Type="http://schemas.openxmlformats.org/officeDocument/2006/relationships/hyperlink" Target="https://maps.app.goo.gl/m1ohyj6Jczwgb1FY6" TargetMode="External"/><Relationship Id="rId24" Type="http://schemas.openxmlformats.org/officeDocument/2006/relationships/hyperlink" Target="https://maps.app.goo.gl/y2SbEyZdHvuuKanL7" TargetMode="External"/><Relationship Id="rId23" Type="http://schemas.openxmlformats.org/officeDocument/2006/relationships/hyperlink" Target="https://maps.app.goo.gl/ne2pTomYHtv7SFYU7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s://docs.google.com/spreadsheets/d/1UKAyq6wflCLc4VagEcCQMsGNtwnfWXQxxS-GCQWjRSg/edit?usp=sharing" TargetMode="External"/><Relationship Id="rId3" Type="http://schemas.openxmlformats.org/officeDocument/2006/relationships/hyperlink" Target="https://www.google.com/maps/d/u/0/edit?mid=1AXCYwwmlZwnmFS-Eq1KC9KYRphkvDh8&amp;usp=sharing" TargetMode="External"/><Relationship Id="rId4" Type="http://schemas.openxmlformats.org/officeDocument/2006/relationships/hyperlink" Target="https://docs.google.com/spreadsheets/d/1-QFRe65tvOeazpyuCSYaauhmJnOmplde/edit?pli=1&amp;gid=2059889745" TargetMode="External"/><Relationship Id="rId9" Type="http://schemas.openxmlformats.org/officeDocument/2006/relationships/hyperlink" Target="https://maps.app.goo.gl/S5AYp1RoWzUdCpZr7" TargetMode="External"/><Relationship Id="rId26" Type="http://schemas.openxmlformats.org/officeDocument/2006/relationships/hyperlink" Target="https://maps.app.goo.gl/zS1kc3oqnWqkodZo6" TargetMode="External"/><Relationship Id="rId25" Type="http://schemas.openxmlformats.org/officeDocument/2006/relationships/hyperlink" Target="https://maps.app.goo.gl/ZfBkPFFcWzVJZ3pe6" TargetMode="External"/><Relationship Id="rId28" Type="http://schemas.openxmlformats.org/officeDocument/2006/relationships/hyperlink" Target="https://maps.app.goo.gl/NkicQjgQC8sUBB7x5" TargetMode="External"/><Relationship Id="rId27" Type="http://schemas.openxmlformats.org/officeDocument/2006/relationships/hyperlink" Target="https://maps.app.goo.gl/2iR3D6m5WYL2RLSx9" TargetMode="External"/><Relationship Id="rId5" Type="http://schemas.openxmlformats.org/officeDocument/2006/relationships/hyperlink" Target="https://maps.app.goo.gl/VUpzNqXyKdDaJj27A" TargetMode="External"/><Relationship Id="rId6" Type="http://schemas.openxmlformats.org/officeDocument/2006/relationships/hyperlink" Target="https://maps.app.goo.gl/tpNiFkQr4L9AwEvK6" TargetMode="External"/><Relationship Id="rId29" Type="http://schemas.openxmlformats.org/officeDocument/2006/relationships/hyperlink" Target="https://maps.app.goo.gl/GsoK3jqUZ2er9ym6A" TargetMode="External"/><Relationship Id="rId7" Type="http://schemas.openxmlformats.org/officeDocument/2006/relationships/hyperlink" Target="https://maps.app.goo.gl/QKJUVVD3gywe7LJ49" TargetMode="External"/><Relationship Id="rId8" Type="http://schemas.openxmlformats.org/officeDocument/2006/relationships/hyperlink" Target="https://maps.app.goo.gl/raTcF5HUcDntvNLF9" TargetMode="External"/><Relationship Id="rId31" Type="http://schemas.openxmlformats.org/officeDocument/2006/relationships/hyperlink" Target="https://maps.app.goo.gl/fKsH1tahYqA6boabA" TargetMode="External"/><Relationship Id="rId30" Type="http://schemas.openxmlformats.org/officeDocument/2006/relationships/hyperlink" Target="https://maps.app.goo.gl/1XX5ZN1CpitrHzpi6" TargetMode="External"/><Relationship Id="rId11" Type="http://schemas.openxmlformats.org/officeDocument/2006/relationships/hyperlink" Target="https://maps.app.goo.gl/nMvsdgeA5q5BS6vW9" TargetMode="External"/><Relationship Id="rId33" Type="http://schemas.openxmlformats.org/officeDocument/2006/relationships/vmlDrawing" Target="../drawings/vmlDrawing1.vml"/><Relationship Id="rId10" Type="http://schemas.openxmlformats.org/officeDocument/2006/relationships/hyperlink" Target="https://maps.app.goo.gl/8Bh5aCeNFiBDbxwg8" TargetMode="External"/><Relationship Id="rId32" Type="http://schemas.openxmlformats.org/officeDocument/2006/relationships/drawing" Target="../drawings/drawing1.xml"/><Relationship Id="rId13" Type="http://schemas.openxmlformats.org/officeDocument/2006/relationships/hyperlink" Target="https://maps.app.goo.gl/pspfZWx9MRd4t7u3A" TargetMode="External"/><Relationship Id="rId12" Type="http://schemas.openxmlformats.org/officeDocument/2006/relationships/hyperlink" Target="https://maps.app.goo.gl/nxypsVKvV6HMJUXn9" TargetMode="External"/><Relationship Id="rId15" Type="http://schemas.openxmlformats.org/officeDocument/2006/relationships/hyperlink" Target="https://maps.app.goo.gl/vyHuTCgMtGkwRiaw5" TargetMode="External"/><Relationship Id="rId14" Type="http://schemas.openxmlformats.org/officeDocument/2006/relationships/hyperlink" Target="https://maps.app.goo.gl/yBvABTHqAJGat31X6" TargetMode="External"/><Relationship Id="rId17" Type="http://schemas.openxmlformats.org/officeDocument/2006/relationships/hyperlink" Target="https://drive.google.com/drive/folders/1M8bhnNI_nzC8gnnob_tXJah84HW_QTnX?usp=sharing" TargetMode="External"/><Relationship Id="rId16" Type="http://schemas.openxmlformats.org/officeDocument/2006/relationships/hyperlink" Target="https://maps.app.goo.gl/rztgdbFDyDQKCH9c6" TargetMode="External"/><Relationship Id="rId19" Type="http://schemas.openxmlformats.org/officeDocument/2006/relationships/hyperlink" Target="https://maps.app.goo.gl/1tFLbCxe9ng6tyi37" TargetMode="External"/><Relationship Id="rId18" Type="http://schemas.openxmlformats.org/officeDocument/2006/relationships/hyperlink" Target="https://maps.app.goo.gl/VqPDGksvnpv3MTwc8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maps.app.goo.gl/aQQVbpkDnQu4GJU98" TargetMode="External"/><Relationship Id="rId190" Type="http://schemas.openxmlformats.org/officeDocument/2006/relationships/hyperlink" Target="https://drive.google.com/drive/folders/1OMuRbf1LIcGpAe1nbJCZ82qPeG_bNKjK?usp=sharing" TargetMode="External"/><Relationship Id="rId42" Type="http://schemas.openxmlformats.org/officeDocument/2006/relationships/hyperlink" Target="https://drive.google.com/file/d/1MvclCcZt4bGEtNGj_urEqg1ky5iQ2oj3/view?usp=drive_link" TargetMode="External"/><Relationship Id="rId41" Type="http://schemas.openxmlformats.org/officeDocument/2006/relationships/hyperlink" Target="https://drive.google.com/drive/folders/1koDpIpEAwSmrlKxfLGVmFrvXbrLBjnXu?usp=sharing" TargetMode="External"/><Relationship Id="rId44" Type="http://schemas.openxmlformats.org/officeDocument/2006/relationships/hyperlink" Target="https://drive.google.com/drive/folders/1ti25s9tf9Z9cB9R0hJTujYIatig-Jd0Z?usp=sharing" TargetMode="External"/><Relationship Id="rId194" Type="http://schemas.openxmlformats.org/officeDocument/2006/relationships/hyperlink" Target="https://maps.app.goo.gl/ZCLcmvQRqokbzhHz9" TargetMode="External"/><Relationship Id="rId43" Type="http://schemas.openxmlformats.org/officeDocument/2006/relationships/hyperlink" Target="https://maps.app.goo.gl/L9NstJbrEbSfQMnQ8" TargetMode="External"/><Relationship Id="rId193" Type="http://schemas.openxmlformats.org/officeDocument/2006/relationships/hyperlink" Target="https://drive.google.com/file/d/1vrSlCZ-VrraW5PE4SpFaQ2vmbKD3GH93/view?usp=drive_link" TargetMode="External"/><Relationship Id="rId46" Type="http://schemas.openxmlformats.org/officeDocument/2006/relationships/hyperlink" Target="https://drive.google.com/file/d/12JvJpsyBXlXe35c-C8x0pVeZh-SteQ4t/view?usp=drive_link" TargetMode="External"/><Relationship Id="rId192" Type="http://schemas.openxmlformats.org/officeDocument/2006/relationships/hyperlink" Target="https://drive.google.com/file/d/1JCqNwgV1dPzisbevIpZXEyxjZUjXhASz/view?usp=drive_link" TargetMode="External"/><Relationship Id="rId45" Type="http://schemas.openxmlformats.org/officeDocument/2006/relationships/hyperlink" Target="https://drive.google.com/file/d/132o3-QxaqeY4DtN1WC2CzhgtuFyJPIVl/view?usp=drive_link" TargetMode="External"/><Relationship Id="rId191" Type="http://schemas.openxmlformats.org/officeDocument/2006/relationships/hyperlink" Target="https://drive.google.com/file/d/1QCivQ-rvvYWIkYAnVb9krxUCk3DEklLV/view?usp=drive_link" TargetMode="External"/><Relationship Id="rId48" Type="http://schemas.openxmlformats.org/officeDocument/2006/relationships/hyperlink" Target="https://drive.google.com/drive/folders/1_cYpOGl82rQ-_XKRC1c5OvQzFr4gJIu3?usp=sharing" TargetMode="External"/><Relationship Id="rId187" Type="http://schemas.openxmlformats.org/officeDocument/2006/relationships/hyperlink" Target="https://drive.google.com/file/d/1BcHYX-zytci-CNR17z4l7T0pU4ES-wqS/view?usp=drive_link" TargetMode="External"/><Relationship Id="rId47" Type="http://schemas.openxmlformats.org/officeDocument/2006/relationships/hyperlink" Target="https://maps.app.goo.gl/jS7ekaiEADa39TBe9" TargetMode="External"/><Relationship Id="rId186" Type="http://schemas.openxmlformats.org/officeDocument/2006/relationships/hyperlink" Target="https://maps.app.goo.gl/z6v2ES6emwMUEwrS6" TargetMode="External"/><Relationship Id="rId185" Type="http://schemas.openxmlformats.org/officeDocument/2006/relationships/hyperlink" Target="https://drive.google.com/file/d/1coTFDZn29RXbtjHDBBIOBZ9SbwCL3luQ/view?usp=drive_link" TargetMode="External"/><Relationship Id="rId49" Type="http://schemas.openxmlformats.org/officeDocument/2006/relationships/hyperlink" Target="https://drive.google.com/file/d/1w06WIYITmGstBPU7__Sx8iH4MDtgXyC2/view?usp=drive_link" TargetMode="External"/><Relationship Id="rId184" Type="http://schemas.openxmlformats.org/officeDocument/2006/relationships/hyperlink" Target="https://drive.google.com/file/d/1v85ozx3nBumXjuxt9zmLrkvnWt5ul1Dd/view?usp=drive_link" TargetMode="External"/><Relationship Id="rId189" Type="http://schemas.openxmlformats.org/officeDocument/2006/relationships/hyperlink" Target="https://drive.google.com/file/d/132snYatWxrSNgzLvFalZEMhZ4EGxgR8Z/view?usp=drive_link" TargetMode="External"/><Relationship Id="rId188" Type="http://schemas.openxmlformats.org/officeDocument/2006/relationships/hyperlink" Target="https://drive.google.com/file/d/1W0F2Tv1cLGCdkrKADmWlNI6RgSqaHzmR/view?usp=drive_link" TargetMode="External"/><Relationship Id="rId31" Type="http://schemas.openxmlformats.org/officeDocument/2006/relationships/hyperlink" Target="https://drive.google.com/file/d/1z8UxkuGBNekKzUmURcSFu5vidKkKGAH0/view?usp=drive_link" TargetMode="External"/><Relationship Id="rId30" Type="http://schemas.openxmlformats.org/officeDocument/2006/relationships/hyperlink" Target="https://drive.google.com/file/d/1TMFdX7BRbQGrM8n0LueuZ_Y8rjvhYhrf/view?usp=drive_link" TargetMode="External"/><Relationship Id="rId33" Type="http://schemas.openxmlformats.org/officeDocument/2006/relationships/hyperlink" Target="https://drive.google.com/drive/folders/1vtdeojjT7yA5TJAvO6oPHCCwN9TCpgiY?usp=sharing" TargetMode="External"/><Relationship Id="rId183" Type="http://schemas.openxmlformats.org/officeDocument/2006/relationships/hyperlink" Target="https://drive.google.com/drive/folders/1H3w3aSjqUZtfpuS1X0RVbQ9n0qmogxD8?usp=sharing" TargetMode="External"/><Relationship Id="rId32" Type="http://schemas.openxmlformats.org/officeDocument/2006/relationships/hyperlink" Target="https://maps.app.goo.gl/URkaazTQT7go7efAA" TargetMode="External"/><Relationship Id="rId182" Type="http://schemas.openxmlformats.org/officeDocument/2006/relationships/hyperlink" Target="https://maps.app.goo.gl/orKVMVwq1AKdNdR5A" TargetMode="External"/><Relationship Id="rId35" Type="http://schemas.openxmlformats.org/officeDocument/2006/relationships/hyperlink" Target="https://drive.google.com/file/d/1UEEYosQD1p6PIbx7S-ZolbjvCm0JQwaX/view?usp=drive_link" TargetMode="External"/><Relationship Id="rId181" Type="http://schemas.openxmlformats.org/officeDocument/2006/relationships/hyperlink" Target="https://drive.google.com/file/d/1gWzbj6opcKin7BUONTuuKupxzaIgJn28/view?usp=drive_link" TargetMode="External"/><Relationship Id="rId34" Type="http://schemas.openxmlformats.org/officeDocument/2006/relationships/hyperlink" Target="https://drive.google.com/file/d/19JRQ79O2JAjrOSMcTD65vkU9nDX5U-1L/view?usp=drive_link" TargetMode="External"/><Relationship Id="rId180" Type="http://schemas.openxmlformats.org/officeDocument/2006/relationships/hyperlink" Target="https://drive.google.com/file/d/1S1yP3ihctDrSxLmz_lbDZZyaw_FAjQQc/view?usp=drive_link" TargetMode="External"/><Relationship Id="rId37" Type="http://schemas.openxmlformats.org/officeDocument/2006/relationships/hyperlink" Target="https://drive.google.com/drive/folders/1D6jWqq9xlNbdtg-3mlkSrV1jJ5zKSS_m?usp=sharing" TargetMode="External"/><Relationship Id="rId176" Type="http://schemas.openxmlformats.org/officeDocument/2006/relationships/hyperlink" Target="https://maps.app.goo.gl/3Cj8Rdka89yUnBXLA" TargetMode="External"/><Relationship Id="rId297" Type="http://schemas.openxmlformats.org/officeDocument/2006/relationships/hyperlink" Target="https://drive.google.com/file/d/1NohMAC2CIsI0QdR5cCEcD3nGuB8Cdlro/view?usp=drive_link" TargetMode="External"/><Relationship Id="rId36" Type="http://schemas.openxmlformats.org/officeDocument/2006/relationships/hyperlink" Target="https://maps.app.goo.gl/sb2SyVS5W72JvvhKA" TargetMode="External"/><Relationship Id="rId175" Type="http://schemas.openxmlformats.org/officeDocument/2006/relationships/hyperlink" Target="https://drive.google.com/file/d/1sIY2bPQTxTQ5NEyGkvPy4laalLe4d1is/view?usp=drive_link" TargetMode="External"/><Relationship Id="rId296" Type="http://schemas.openxmlformats.org/officeDocument/2006/relationships/hyperlink" Target="https://maps.app.goo.gl/nPxidzmtMdJKbVPz5" TargetMode="External"/><Relationship Id="rId39" Type="http://schemas.openxmlformats.org/officeDocument/2006/relationships/hyperlink" Target="https://drive.google.com/file/d/1uUiH44D1yrBBValXkLM7e8bqSJ4R3-Do/view?usp=drive_link" TargetMode="External"/><Relationship Id="rId174" Type="http://schemas.openxmlformats.org/officeDocument/2006/relationships/hyperlink" Target="https://drive.google.com/file/d/1_TgoTSIjLTjasyif5IBA7UYQo61oWaWT/view?usp=drive_link" TargetMode="External"/><Relationship Id="rId295" Type="http://schemas.openxmlformats.org/officeDocument/2006/relationships/hyperlink" Target="https://drive.google.com/file/d/1N6xps7stJAsEqDO4vyfgMp8JNmsDvqaN/view?usp=drive_link" TargetMode="External"/><Relationship Id="rId38" Type="http://schemas.openxmlformats.org/officeDocument/2006/relationships/hyperlink" Target="https://drive.google.com/file/d/1Z9jg3dn9SpromRZ4hfPiDK1fbW55G-Za/view?usp=drive_link" TargetMode="External"/><Relationship Id="rId173" Type="http://schemas.openxmlformats.org/officeDocument/2006/relationships/hyperlink" Target="https://drive.google.com/drive/folders/1Xxe0S7IE0S9cqe44Oz1R6OMgq4XqRCmw?usp=sharing" TargetMode="External"/><Relationship Id="rId294" Type="http://schemas.openxmlformats.org/officeDocument/2006/relationships/hyperlink" Target="https://drive.google.com/drive/folders/1z5K0RQfqWcfKbOioeWIwm3CWGVPfLhuB?usp=sharing" TargetMode="External"/><Relationship Id="rId179" Type="http://schemas.openxmlformats.org/officeDocument/2006/relationships/hyperlink" Target="https://maps.app.goo.gl/8SV7yhHgUDjqkA777" TargetMode="External"/><Relationship Id="rId178" Type="http://schemas.openxmlformats.org/officeDocument/2006/relationships/hyperlink" Target="https://drive.google.com/file/d/1mmD6NnLDSrrmuRvBZX1BISySRVQUTg9d/view?usp=drive_link" TargetMode="External"/><Relationship Id="rId299" Type="http://schemas.openxmlformats.org/officeDocument/2006/relationships/hyperlink" Target="https://drive.google.com/drive/folders/1fPByGhiXfV7dVDdkCiFb1d0ZWuF-uYPr?usp=sharing" TargetMode="External"/><Relationship Id="rId177" Type="http://schemas.openxmlformats.org/officeDocument/2006/relationships/hyperlink" Target="https://drive.google.com/drive/folders/11AVIeL5ogf-2YFVMruvgZWt7DbIzAPSZ?usp=sharing" TargetMode="External"/><Relationship Id="rId298" Type="http://schemas.openxmlformats.org/officeDocument/2006/relationships/hyperlink" Target="https://maps.app.goo.gl/cTS5QxsuJaBSAi8c7" TargetMode="External"/><Relationship Id="rId20" Type="http://schemas.openxmlformats.org/officeDocument/2006/relationships/hyperlink" Target="https://drive.google.com/drive/folders/1kBfW8ilrlRjeiV5QcRJcCSoqFEo1FeX6?usp=sharing" TargetMode="External"/><Relationship Id="rId22" Type="http://schemas.openxmlformats.org/officeDocument/2006/relationships/hyperlink" Target="https://drive.google.com/file/d/1YrnJCbpnsaKW-irltITe7PT1bEdxGvKN/view?usp=drive_link" TargetMode="External"/><Relationship Id="rId21" Type="http://schemas.openxmlformats.org/officeDocument/2006/relationships/hyperlink" Target="https://drive.google.com/file/d/1084JY6D5LSKM9L5q603MuxsDapaU-2uo/view?usp=drive_link" TargetMode="External"/><Relationship Id="rId24" Type="http://schemas.openxmlformats.org/officeDocument/2006/relationships/hyperlink" Target="https://maps.app.goo.gl/zKtexbKe1ejx3JAN9" TargetMode="External"/><Relationship Id="rId23" Type="http://schemas.openxmlformats.org/officeDocument/2006/relationships/hyperlink" Target="https://drive.google.com/file/d/140l5TMfPW52-BEHre_d82KSiTL7EBnn3/view?usp=drive_link" TargetMode="External"/><Relationship Id="rId26" Type="http://schemas.openxmlformats.org/officeDocument/2006/relationships/hyperlink" Target="https://drive.google.com/file/d/1NCjo1WlGJgp8a73WFKFTcn9ZiK5hCgKS/view?usp=drive_link" TargetMode="External"/><Relationship Id="rId25" Type="http://schemas.openxmlformats.org/officeDocument/2006/relationships/hyperlink" Target="https://drive.google.com/drive/folders/1P5P8NbS1xnGYa8mLBLcmFfygTfnq1WbY?usp=sharing" TargetMode="External"/><Relationship Id="rId28" Type="http://schemas.openxmlformats.org/officeDocument/2006/relationships/hyperlink" Target="https://maps.app.goo.gl/gHqVGWAPcvq2atBr9" TargetMode="External"/><Relationship Id="rId27" Type="http://schemas.openxmlformats.org/officeDocument/2006/relationships/hyperlink" Target="https://drive.google.com/file/d/1FZkAt8T2u4bwa-YbRgvDUpguYpJ0rE8n/view?usp=drive_link" TargetMode="External"/><Relationship Id="rId29" Type="http://schemas.openxmlformats.org/officeDocument/2006/relationships/hyperlink" Target="https://drive.google.com/drive/folders/1rOotTFT1i5IdVX6rgIzbXJSxTBXucuA-?usp=sharing" TargetMode="External"/><Relationship Id="rId11" Type="http://schemas.openxmlformats.org/officeDocument/2006/relationships/hyperlink" Target="https://drive.google.com/drive/folders/11ZmTJlId_WrNDWYKLSxLz3oiRgxmXtyt?usp=sharing" TargetMode="External"/><Relationship Id="rId10" Type="http://schemas.openxmlformats.org/officeDocument/2006/relationships/hyperlink" Target="https://maps.app.goo.gl/nf6ijzudPrDAQiRw7" TargetMode="External"/><Relationship Id="rId13" Type="http://schemas.openxmlformats.org/officeDocument/2006/relationships/hyperlink" Target="https://drive.google.com/file/d/1uT35M-Pb2hoFsGQ4ApOHj9TWLxw1esxz/view?usp=drive_link" TargetMode="External"/><Relationship Id="rId12" Type="http://schemas.openxmlformats.org/officeDocument/2006/relationships/hyperlink" Target="https://drive.google.com/file/d/1Q9GzgWZ7C2zbU-MEuLm1ZVMBDGqhbrfj/view?usp=drive_link" TargetMode="External"/><Relationship Id="rId15" Type="http://schemas.openxmlformats.org/officeDocument/2006/relationships/hyperlink" Target="https://drive.google.com/drive/folders/19hwvL8KHLDVVG4gV-8arAmsUqOt4xvYN?usp=sharing" TargetMode="External"/><Relationship Id="rId198" Type="http://schemas.openxmlformats.org/officeDocument/2006/relationships/hyperlink" Target="https://drive.google.com/file/d/1Hfx2JA_4MnCOHvsbEmYUAoADpjUPO4Jg/view?usp=drive_link" TargetMode="External"/><Relationship Id="rId14" Type="http://schemas.openxmlformats.org/officeDocument/2006/relationships/hyperlink" Target="https://maps.app.goo.gl/FBheH2xPwJxV66fCA" TargetMode="External"/><Relationship Id="rId197" Type="http://schemas.openxmlformats.org/officeDocument/2006/relationships/hyperlink" Target="https://maps.app.goo.gl/zsVPrQD96mfeAzHv5" TargetMode="External"/><Relationship Id="rId17" Type="http://schemas.openxmlformats.org/officeDocument/2006/relationships/hyperlink" Target="https://drive.google.com/file/d/1JaNh6NFY8Cv8_jtts56jKxL1FEv7_0ut/view?usp=drive_link" TargetMode="External"/><Relationship Id="rId196" Type="http://schemas.openxmlformats.org/officeDocument/2006/relationships/hyperlink" Target="https://drive.google.com/file/d/1Rti_O9GlI5eDErknYkG76iEkyTS57lK_/view?usp=drive_link" TargetMode="External"/><Relationship Id="rId16" Type="http://schemas.openxmlformats.org/officeDocument/2006/relationships/hyperlink" Target="https://drive.google.com/file/d/1sameLUp1TGokQxcr-cZ4CV_7_4_OI8nZ/view?usp=drive_link" TargetMode="External"/><Relationship Id="rId195" Type="http://schemas.openxmlformats.org/officeDocument/2006/relationships/hyperlink" Target="https://drive.google.com/drive/folders/1wLQ3Xpp51y0KSAQ3i4qZt9r_v3-LIIfJ?usp=sharing" TargetMode="External"/><Relationship Id="rId19" Type="http://schemas.openxmlformats.org/officeDocument/2006/relationships/hyperlink" Target="https://maps.app.goo.gl/STW47syJ6P2F61557" TargetMode="External"/><Relationship Id="rId18" Type="http://schemas.openxmlformats.org/officeDocument/2006/relationships/hyperlink" Target="https://drive.google.com/file/d/1EN8OyHvKPqoDrphSDEB_lY7u7VMK4AVD/view?usp=drive_link" TargetMode="External"/><Relationship Id="rId199" Type="http://schemas.openxmlformats.org/officeDocument/2006/relationships/hyperlink" Target="https://drive.google.com/file/d/1iLpHVPo7_4bzLD2laBpBMqYFnYU5f1Ip/view?usp=drive_link" TargetMode="External"/><Relationship Id="rId84" Type="http://schemas.openxmlformats.org/officeDocument/2006/relationships/hyperlink" Target="https://drive.google.com/file/d/1uU5JWs6QgMbZKi1r1Dbr-FJwgnOp2joD/view?usp=drive_link" TargetMode="External"/><Relationship Id="rId83" Type="http://schemas.openxmlformats.org/officeDocument/2006/relationships/hyperlink" Target="https://drive.google.com/drive/folders/1w9QnuytOc-0eb1u2BT1tz6r6MiaZA40R?usp=sharing" TargetMode="External"/><Relationship Id="rId86" Type="http://schemas.openxmlformats.org/officeDocument/2006/relationships/hyperlink" Target="https://maps.app.goo.gl/bkjPwibPKi1N3U3q9" TargetMode="External"/><Relationship Id="rId85" Type="http://schemas.openxmlformats.org/officeDocument/2006/relationships/hyperlink" Target="https://drive.google.com/file/d/1cGvwqLKpEqka9yN4RFQENkiHFNeobvxv/view?usp=drive_link" TargetMode="External"/><Relationship Id="rId88" Type="http://schemas.openxmlformats.org/officeDocument/2006/relationships/hyperlink" Target="https://drive.google.com/file/d/1tOuR0uJvpJDFpYEYOUdN3hqKUNPw5U6z/view?usp=drive_link" TargetMode="External"/><Relationship Id="rId150" Type="http://schemas.openxmlformats.org/officeDocument/2006/relationships/hyperlink" Target="https://drive.google.com/drive/folders/1eHuaej5sjtpQuoYFbfXVocDbkvgtvpiG?usp=sharing" TargetMode="External"/><Relationship Id="rId271" Type="http://schemas.openxmlformats.org/officeDocument/2006/relationships/hyperlink" Target="https://drive.google.com/file/d/15wrT88Ei7tHuIXnfXwkxtxxVDwTO_nPv/view?usp=drive_link" TargetMode="External"/><Relationship Id="rId87" Type="http://schemas.openxmlformats.org/officeDocument/2006/relationships/hyperlink" Target="https://drive.google.com/drive/folders/1_IupWVIdAOfA5TY26vBGYOiikbIYtrk4?usp=sharing" TargetMode="External"/><Relationship Id="rId270" Type="http://schemas.openxmlformats.org/officeDocument/2006/relationships/hyperlink" Target="https://maps.app.goo.gl/FpzvTofdGKyj3EZq9" TargetMode="External"/><Relationship Id="rId89" Type="http://schemas.openxmlformats.org/officeDocument/2006/relationships/hyperlink" Target="https://drive.google.com/file/d/142PO23mVW9XK_hYu7-n69GkOBNxFeLE2/view?usp=drive_link" TargetMode="External"/><Relationship Id="rId80" Type="http://schemas.openxmlformats.org/officeDocument/2006/relationships/hyperlink" Target="https://maps.app.goo.gl/f8EQryY5QcCSZGnE7" TargetMode="External"/><Relationship Id="rId82" Type="http://schemas.openxmlformats.org/officeDocument/2006/relationships/hyperlink" Target="https://maps.app.goo.gl/n5CKuXWuN59zwq2S8" TargetMode="External"/><Relationship Id="rId81" Type="http://schemas.openxmlformats.org/officeDocument/2006/relationships/hyperlink" Target="https://drive.google.com/file/d/1-W_RekuHT1kTVkscCVAcmVHrUnytpwXh/view?usp=drive_link" TargetMode="External"/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149" Type="http://schemas.openxmlformats.org/officeDocument/2006/relationships/hyperlink" Target="https://maps.app.goo.gl/jXZrBpWry8j1U8576" TargetMode="External"/><Relationship Id="rId4" Type="http://schemas.openxmlformats.org/officeDocument/2006/relationships/hyperlink" Target="https://docs.google.com/spreadsheets/d/1UKAyq6wflCLc4VagEcCQMsGNtwnfWXQxxS-GCQWjRSg/edit?usp=sharing" TargetMode="External"/><Relationship Id="rId148" Type="http://schemas.openxmlformats.org/officeDocument/2006/relationships/hyperlink" Target="https://drive.google.com/file/d/1GTpv2wI07Ho-Sf9J89mQz7axH5UmCjfE/view?usp=sharing" TargetMode="External"/><Relationship Id="rId269" Type="http://schemas.openxmlformats.org/officeDocument/2006/relationships/hyperlink" Target="https://drive.google.com/file/d/1pC5Awi9DHjliNY3fw__yAzS1FZRN8l0L/view?usp=drive_link" TargetMode="External"/><Relationship Id="rId9" Type="http://schemas.openxmlformats.org/officeDocument/2006/relationships/hyperlink" Target="https://drive.google.com/file/d/1l6hNBsSk_w6cJanMD585NsPd-cupQB2S/view?usp=drive_link" TargetMode="External"/><Relationship Id="rId143" Type="http://schemas.openxmlformats.org/officeDocument/2006/relationships/hyperlink" Target="https://drive.google.com/file/d/1u2XKYANfM85KHZe7pGhhJ-Hv-m01_qxd/view?usp=drive_link" TargetMode="External"/><Relationship Id="rId264" Type="http://schemas.openxmlformats.org/officeDocument/2006/relationships/hyperlink" Target="https://drive.google.com/drive/folders/1FXkFEFwraGewxCFlBlszH17zbggZtcZj?usp=sharing" TargetMode="External"/><Relationship Id="rId142" Type="http://schemas.openxmlformats.org/officeDocument/2006/relationships/hyperlink" Target="https://drive.google.com/drive/folders/1KbUEwE7IgSuCKCrn7DWenitD-2StwaeS?usp=sharing" TargetMode="External"/><Relationship Id="rId263" Type="http://schemas.openxmlformats.org/officeDocument/2006/relationships/hyperlink" Target="https://maps.app.goo.gl/zUG8qVQxyTyAzdj66" TargetMode="External"/><Relationship Id="rId141" Type="http://schemas.openxmlformats.org/officeDocument/2006/relationships/hyperlink" Target="https://maps.app.goo.gl/pQaMB7oztAK176N4A" TargetMode="External"/><Relationship Id="rId262" Type="http://schemas.openxmlformats.org/officeDocument/2006/relationships/hyperlink" Target="https://drive.google.com/file/d/1STyDMcqGUEujVgp4URMpciPjs_VZ_wtO/view?usp=drive_link" TargetMode="External"/><Relationship Id="rId140" Type="http://schemas.openxmlformats.org/officeDocument/2006/relationships/hyperlink" Target="https://drive.google.com/file/d/1OaXpDme8A6dEx2LqUVhvje3PKfybQx0C/view?usp=drive_link" TargetMode="External"/><Relationship Id="rId261" Type="http://schemas.openxmlformats.org/officeDocument/2006/relationships/hyperlink" Target="https://drive.google.com/file/d/1KGEgSnuf4AMoZPUb3xXYFqhVWKPnjVQT/view?usp=drive_link" TargetMode="External"/><Relationship Id="rId5" Type="http://schemas.openxmlformats.org/officeDocument/2006/relationships/hyperlink" Target="https://www.google.com/maps/d/u/0/edit?mid=1i72n468S-2bPDxeWCvZ2zR2F7a88SAU&amp;usp=sharing" TargetMode="External"/><Relationship Id="rId147" Type="http://schemas.openxmlformats.org/officeDocument/2006/relationships/hyperlink" Target="https://drive.google.com/file/d/1kkfx3LXbUpSy999-kNG1zYW9lkfY2mlL/view?usp=drive_link" TargetMode="External"/><Relationship Id="rId268" Type="http://schemas.openxmlformats.org/officeDocument/2006/relationships/hyperlink" Target="https://drive.google.com/drive/folders/1wbwi9jmla0RFo9T44ktSt8NJDybrNnQ5?usp=sharing" TargetMode="External"/><Relationship Id="rId6" Type="http://schemas.openxmlformats.org/officeDocument/2006/relationships/hyperlink" Target="https://docs.google.com/spreadsheets/d/1-QFRe65tvOeazpyuCSYaauhmJnOmplde/edit?pli=1&amp;gid=2059889745" TargetMode="External"/><Relationship Id="rId146" Type="http://schemas.openxmlformats.org/officeDocument/2006/relationships/hyperlink" Target="https://drive.google.com/drive/folders/1k0ITmr13KFZicMbPgT-hUa8Frocj2gMv?usp=sharing" TargetMode="External"/><Relationship Id="rId267" Type="http://schemas.openxmlformats.org/officeDocument/2006/relationships/hyperlink" Target="https://maps.app.goo.gl/61N5Aj3cQpyqKzSeA" TargetMode="External"/><Relationship Id="rId7" Type="http://schemas.openxmlformats.org/officeDocument/2006/relationships/hyperlink" Target="https://drive.google.com/drive/folders/1mEVl7dzd_wbGHPOE9sqhrDPU3SaVf_i3?usp=sharing" TargetMode="External"/><Relationship Id="rId145" Type="http://schemas.openxmlformats.org/officeDocument/2006/relationships/hyperlink" Target="https://maps.app.goo.gl/K6iCLw4kJw2AaDp19" TargetMode="External"/><Relationship Id="rId266" Type="http://schemas.openxmlformats.org/officeDocument/2006/relationships/hyperlink" Target="https://drive.google.com/file/d/1w7e7Og0jU4VNfFZ1rfeERXGZBuXw0QS8/view?usp=drive_link" TargetMode="External"/><Relationship Id="rId8" Type="http://schemas.openxmlformats.org/officeDocument/2006/relationships/hyperlink" Target="https://drive.google.com/file/d/1dvVRsn9Hi1Qx3RvHLFr8ylVRaUEgF1Om/view?usp=drive_link" TargetMode="External"/><Relationship Id="rId144" Type="http://schemas.openxmlformats.org/officeDocument/2006/relationships/hyperlink" Target="https://drive.google.com/file/d/1yBVXSD4dxoMprbJziOpQW_U_HdBMVYRX/view?usp=drive_link" TargetMode="External"/><Relationship Id="rId265" Type="http://schemas.openxmlformats.org/officeDocument/2006/relationships/hyperlink" Target="https://drive.google.com/file/d/1SMTtWrb6Sj1Q9OMM6NX49xE585tVkTZP/view?usp=drive_link" TargetMode="External"/><Relationship Id="rId73" Type="http://schemas.openxmlformats.org/officeDocument/2006/relationships/hyperlink" Target="https://drive.google.com/file/d/1lJqeWV83GtO8kzXUlAWnNYPen-p04FYF/view?usp=drive_link" TargetMode="External"/><Relationship Id="rId72" Type="http://schemas.openxmlformats.org/officeDocument/2006/relationships/hyperlink" Target="https://drive.google.com/drive/folders/10vO1wsWJ7AsdF1B2KYsq9eYCtSPLRaOR?usp=sharing" TargetMode="External"/><Relationship Id="rId75" Type="http://schemas.openxmlformats.org/officeDocument/2006/relationships/hyperlink" Target="https://maps.app.goo.gl/ouxWu3TZ4qVJGj449" TargetMode="External"/><Relationship Id="rId74" Type="http://schemas.openxmlformats.org/officeDocument/2006/relationships/hyperlink" Target="https://drive.google.com/file/d/1xC3qUjWm6YXA6dU1VYCvYWzCHnf3X0Re/view?usp=drive_link" TargetMode="External"/><Relationship Id="rId77" Type="http://schemas.openxmlformats.org/officeDocument/2006/relationships/hyperlink" Target="https://drive.google.com/drive/folders/1oGMH7VXk6s-vfxxYG0yCr-e8drIrRAEf?usp=sharing" TargetMode="External"/><Relationship Id="rId260" Type="http://schemas.openxmlformats.org/officeDocument/2006/relationships/hyperlink" Target="https://drive.google.com/drive/folders/1QJS-T_rShPar6TAz_ajD6wbJtxt6C1p0?usp=sharing" TargetMode="External"/><Relationship Id="rId76" Type="http://schemas.openxmlformats.org/officeDocument/2006/relationships/hyperlink" Target="https://maps.app.goo.gl/D72hTRqS4iRz1UEb8" TargetMode="External"/><Relationship Id="rId79" Type="http://schemas.openxmlformats.org/officeDocument/2006/relationships/hyperlink" Target="https://drive.google.com/file/d/1w1CdnoKMLgKNPGXcQ3vlZsQN3Co9KQ7Y/view?usp=drive_link" TargetMode="External"/><Relationship Id="rId78" Type="http://schemas.openxmlformats.org/officeDocument/2006/relationships/hyperlink" Target="https://drive.google.com/file/d/1ZgRBGL0xIaMDYEW_SiUbs3dzCMs3qYAR/view?usp=drive_link" TargetMode="External"/><Relationship Id="rId71" Type="http://schemas.openxmlformats.org/officeDocument/2006/relationships/hyperlink" Target="https://maps.app.goo.gl/4xzJ7ghuxyohtLmP6" TargetMode="External"/><Relationship Id="rId70" Type="http://schemas.openxmlformats.org/officeDocument/2006/relationships/hyperlink" Target="https://drive.google.com/file/d/1lcZSFPOZuhANsn5y4laM3ge6JR1dCttL/view?usp=drive_link" TargetMode="External"/><Relationship Id="rId139" Type="http://schemas.openxmlformats.org/officeDocument/2006/relationships/hyperlink" Target="https://drive.google.com/drive/folders/1tEHkdeZN5sYMOp9A8sCeRSPW4w9lFMp0?usp=sharing" TargetMode="External"/><Relationship Id="rId138" Type="http://schemas.openxmlformats.org/officeDocument/2006/relationships/hyperlink" Target="https://maps.app.goo.gl/sw8MbbPg3vTc1ttm9" TargetMode="External"/><Relationship Id="rId259" Type="http://schemas.openxmlformats.org/officeDocument/2006/relationships/hyperlink" Target="https://maps.app.goo.gl/zQ9WatZo7j7raejw9" TargetMode="External"/><Relationship Id="rId137" Type="http://schemas.openxmlformats.org/officeDocument/2006/relationships/hyperlink" Target="https://maps.app.goo.gl/PcGsJeuZ981VdnFp8" TargetMode="External"/><Relationship Id="rId258" Type="http://schemas.openxmlformats.org/officeDocument/2006/relationships/hyperlink" Target="https://drive.google.com/file/d/1htdM3lJ-91-MD5Bg3honIKj-T150PgFT/view?usp=drive_link" TargetMode="External"/><Relationship Id="rId132" Type="http://schemas.openxmlformats.org/officeDocument/2006/relationships/hyperlink" Target="https://maps.app.goo.gl/YsM4f1wk3z5E6xw7A" TargetMode="External"/><Relationship Id="rId253" Type="http://schemas.openxmlformats.org/officeDocument/2006/relationships/hyperlink" Target="https://maps.app.goo.gl/y8m9PenHRN8GBzNa9" TargetMode="External"/><Relationship Id="rId131" Type="http://schemas.openxmlformats.org/officeDocument/2006/relationships/hyperlink" Target="https://drive.google.com/file/d/1IrVcUStfz9BUAlXld1g6KvhQ7tWJycYb/view?usp=drive_link" TargetMode="External"/><Relationship Id="rId252" Type="http://schemas.openxmlformats.org/officeDocument/2006/relationships/hyperlink" Target="https://drive.google.com/file/d/1R33_aWfWWi7dRjlNlU0nhu8R9KixDgK2/view?usp=drive_link" TargetMode="External"/><Relationship Id="rId130" Type="http://schemas.openxmlformats.org/officeDocument/2006/relationships/hyperlink" Target="https://drive.google.com/drive/folders/1dVdp5MM-NvW3yaILSguexpOWP_-cwE83?usp=sharing" TargetMode="External"/><Relationship Id="rId251" Type="http://schemas.openxmlformats.org/officeDocument/2006/relationships/hyperlink" Target="https://maps.app.goo.gl/SPissdTcQ26csR788" TargetMode="External"/><Relationship Id="rId250" Type="http://schemas.openxmlformats.org/officeDocument/2006/relationships/hyperlink" Target="https://drive.google.com/file/d/1F3GNu__spftmPxLNInPxE_TxYXnCrg15/view?usp=drive_link" TargetMode="External"/><Relationship Id="rId136" Type="http://schemas.openxmlformats.org/officeDocument/2006/relationships/hyperlink" Target="https://drive.google.com/file/d/1KPaIiE_zV6cUW__38-RIoLx0Hym7W1oh/view?usp=drive_link" TargetMode="External"/><Relationship Id="rId257" Type="http://schemas.openxmlformats.org/officeDocument/2006/relationships/hyperlink" Target="https://drive.google.com/drive/folders/1EBF19dBjtuppQ8r8K_Xbx3TwTHg6M9Uz?usp=sharing" TargetMode="External"/><Relationship Id="rId135" Type="http://schemas.openxmlformats.org/officeDocument/2006/relationships/hyperlink" Target="https://drive.google.com/file/d/1l9ml5uNed2gzJwlubJyWcSNsWRu7o-IO/view?usp=drive_link" TargetMode="External"/><Relationship Id="rId256" Type="http://schemas.openxmlformats.org/officeDocument/2006/relationships/hyperlink" Target="https://maps.app.goo.gl/JQQrYkGocnGmkK8g9" TargetMode="External"/><Relationship Id="rId134" Type="http://schemas.openxmlformats.org/officeDocument/2006/relationships/hyperlink" Target="https://drive.google.com/file/d/1Ixqk7BAt1iUvrYdoNmeLdCmvHlVWbAVk/view?usp=drive_link" TargetMode="External"/><Relationship Id="rId255" Type="http://schemas.openxmlformats.org/officeDocument/2006/relationships/hyperlink" Target="https://drive.google.com/file/d/15flC0-krF_trE8oHvVnGOaYaepYcuLI1/view?usp=drive_link" TargetMode="External"/><Relationship Id="rId133" Type="http://schemas.openxmlformats.org/officeDocument/2006/relationships/hyperlink" Target="https://drive.google.com/drive/folders/1-SlK_tSfwnj3P1WjQDOH0XUFDz1jZk2F?usp=sharing" TargetMode="External"/><Relationship Id="rId254" Type="http://schemas.openxmlformats.org/officeDocument/2006/relationships/hyperlink" Target="https://drive.google.com/drive/folders/1UWBB3Xora8feRGLkBPyvuhmQ9SMtOP8f?usp=sharing" TargetMode="External"/><Relationship Id="rId62" Type="http://schemas.openxmlformats.org/officeDocument/2006/relationships/hyperlink" Target="https://maps.app.goo.gl/K63fJqmyuxpPBjw66" TargetMode="External"/><Relationship Id="rId61" Type="http://schemas.openxmlformats.org/officeDocument/2006/relationships/hyperlink" Target="https://drive.google.com/file/d/1HtUAIhJ5eXlB63dcPhDqb-rCydzBsxzJ/view?usp=drive_link" TargetMode="External"/><Relationship Id="rId64" Type="http://schemas.openxmlformats.org/officeDocument/2006/relationships/hyperlink" Target="https://drive.google.com/file/d/1BvVRih39tWzuTUAea3L2vSXf5uuMH0cV/view?usp=drive_link" TargetMode="External"/><Relationship Id="rId63" Type="http://schemas.openxmlformats.org/officeDocument/2006/relationships/hyperlink" Target="https://drive.google.com/drive/folders/10UjIdm__qqsZbT1yrIYMoqKUpTQ5oii5?usp=sharing" TargetMode="External"/><Relationship Id="rId66" Type="http://schemas.openxmlformats.org/officeDocument/2006/relationships/hyperlink" Target="https://drive.google.com/drive/folders/12msqecZukuGrGFeuTE2EbL-biyga8OFv?usp=sharing" TargetMode="External"/><Relationship Id="rId172" Type="http://schemas.openxmlformats.org/officeDocument/2006/relationships/hyperlink" Target="https://maps.app.goo.gl/S3Jf31PY11MsXXLr8" TargetMode="External"/><Relationship Id="rId293" Type="http://schemas.openxmlformats.org/officeDocument/2006/relationships/hyperlink" Target="https://maps.app.goo.gl/jxkZDWpBh1mmM3tk6" TargetMode="External"/><Relationship Id="rId65" Type="http://schemas.openxmlformats.org/officeDocument/2006/relationships/hyperlink" Target="https://maps.app.goo.gl/7G5bU793SQGuVetB6" TargetMode="External"/><Relationship Id="rId171" Type="http://schemas.openxmlformats.org/officeDocument/2006/relationships/hyperlink" Target="https://maps.app.goo.gl/UBsGCSK84rKn8jRD8" TargetMode="External"/><Relationship Id="rId292" Type="http://schemas.openxmlformats.org/officeDocument/2006/relationships/hyperlink" Target="https://drive.google.com/file/d/1oRNDVe71MplT6zDDgQrkjY6lnwe974MZ/view?usp=drive_link" TargetMode="External"/><Relationship Id="rId68" Type="http://schemas.openxmlformats.org/officeDocument/2006/relationships/hyperlink" Target="https://maps.app.goo.gl/5najxk2Sdp6vSiBa8" TargetMode="External"/><Relationship Id="rId170" Type="http://schemas.openxmlformats.org/officeDocument/2006/relationships/hyperlink" Target="https://drive.google.com/file/d/1POG3j9yL2vOeZiJooW2hnvt1E4KVpx6W/view?usp=drive_link" TargetMode="External"/><Relationship Id="rId291" Type="http://schemas.openxmlformats.org/officeDocument/2006/relationships/hyperlink" Target="https://drive.google.com/file/d/1E-bsX2VO_B29fyiTCvVaxPHoHcv8sW3x/view?usp=drive_link" TargetMode="External"/><Relationship Id="rId67" Type="http://schemas.openxmlformats.org/officeDocument/2006/relationships/hyperlink" Target="https://drive.google.com/file/d/1Nyg80VTXQM3UAdRI2Ud3ufZrUktAUOcS/view?usp=drive_link" TargetMode="External"/><Relationship Id="rId290" Type="http://schemas.openxmlformats.org/officeDocument/2006/relationships/hyperlink" Target="https://drive.google.com/drive/folders/1pzL-TDz2LPMh-WkNREf71Rmswcnj8BWM?usp=sharing" TargetMode="External"/><Relationship Id="rId60" Type="http://schemas.openxmlformats.org/officeDocument/2006/relationships/hyperlink" Target="https://drive.google.com/drive/folders/1aukkT-m96rimITZLRDLlWAieaxexp-t9?usp=sharing" TargetMode="External"/><Relationship Id="rId165" Type="http://schemas.openxmlformats.org/officeDocument/2006/relationships/hyperlink" Target="https://drive.google.com/file/d/1m3ZRhuvHsumkxYh4mukH1ff8SURau_Kp/view?usp=drive_link" TargetMode="External"/><Relationship Id="rId286" Type="http://schemas.openxmlformats.org/officeDocument/2006/relationships/hyperlink" Target="https://maps.app.goo.gl/Xa7LLtEGQqiKpu6P7" TargetMode="External"/><Relationship Id="rId69" Type="http://schemas.openxmlformats.org/officeDocument/2006/relationships/hyperlink" Target="https://drive.google.com/drive/folders/1MuWcaWUFyWAf89TOcXbCmkght7lz4pkw?usp=sharing" TargetMode="External"/><Relationship Id="rId164" Type="http://schemas.openxmlformats.org/officeDocument/2006/relationships/hyperlink" Target="https://drive.google.com/drive/folders/1AFil2--nkpyBahUl5PM080lSYPm28O9B?usp=sharing" TargetMode="External"/><Relationship Id="rId285" Type="http://schemas.openxmlformats.org/officeDocument/2006/relationships/hyperlink" Target="https://drive.google.com/file/d/1Et9ZEa9Hr13YtKTldS2OJ5yUfTNyjx3f/view?usp=drive_link" TargetMode="External"/><Relationship Id="rId163" Type="http://schemas.openxmlformats.org/officeDocument/2006/relationships/hyperlink" Target="https://maps.app.goo.gl/mfNPxv87JrLbvuvw5" TargetMode="External"/><Relationship Id="rId284" Type="http://schemas.openxmlformats.org/officeDocument/2006/relationships/hyperlink" Target="https://drive.google.com/drive/folders/1ADP1fPgFbG9x7GZfsLnMhFNOAH0PhSXP?usp=sharing" TargetMode="External"/><Relationship Id="rId162" Type="http://schemas.openxmlformats.org/officeDocument/2006/relationships/hyperlink" Target="https://drive.google.com/file/d/1pxxuuq5YOdd7on8RrQZSF61UFM8NWowu/view?usp=drive_link" TargetMode="External"/><Relationship Id="rId283" Type="http://schemas.openxmlformats.org/officeDocument/2006/relationships/hyperlink" Target="https://maps.app.goo.gl/X4G5kZVxC17MRX8C6" TargetMode="External"/><Relationship Id="rId169" Type="http://schemas.openxmlformats.org/officeDocument/2006/relationships/hyperlink" Target="https://drive.google.com/file/d/1Jrd6vBvy_Fsb16pEbGvDJ0dQF_bVCLsF/view?usp=drive_link" TargetMode="External"/><Relationship Id="rId168" Type="http://schemas.openxmlformats.org/officeDocument/2006/relationships/hyperlink" Target="https://drive.google.com/drive/folders/16y3vL0gILNPE0MUZkN2fiLPX_0hic2aS?usp=sharing" TargetMode="External"/><Relationship Id="rId289" Type="http://schemas.openxmlformats.org/officeDocument/2006/relationships/hyperlink" Target="https://maps.app.goo.gl/PSZyeCHLrqcb4wuf9" TargetMode="External"/><Relationship Id="rId167" Type="http://schemas.openxmlformats.org/officeDocument/2006/relationships/hyperlink" Target="https://maps.app.goo.gl/JowYmpLcqmw1w93W6" TargetMode="External"/><Relationship Id="rId288" Type="http://schemas.openxmlformats.org/officeDocument/2006/relationships/hyperlink" Target="https://drive.google.com/file/d/1eGuUbYi1TLSnXkLemMVuvdCagj5gdZMA/view?usp=drive_link" TargetMode="External"/><Relationship Id="rId166" Type="http://schemas.openxmlformats.org/officeDocument/2006/relationships/hyperlink" Target="https://drive.google.com/file/d/19Hdijk3eeagMyGZZUPERHLqCQzxPQDP7/view?usp=drive_link" TargetMode="External"/><Relationship Id="rId287" Type="http://schemas.openxmlformats.org/officeDocument/2006/relationships/hyperlink" Target="https://drive.google.com/drive/folders/1WkGfDx_NRnWol8iQxm7plox8IjOSddcd?usp=sharing" TargetMode="External"/><Relationship Id="rId51" Type="http://schemas.openxmlformats.org/officeDocument/2006/relationships/hyperlink" Target="https://drive.google.com/drive/folders/1ZNGU9R2wJH5tGY8EVD3fKIOBo50HShzL?usp=sharing" TargetMode="External"/><Relationship Id="rId50" Type="http://schemas.openxmlformats.org/officeDocument/2006/relationships/hyperlink" Target="https://maps.app.goo.gl/kdoFi2wjJk3Bv4mt9" TargetMode="External"/><Relationship Id="rId53" Type="http://schemas.openxmlformats.org/officeDocument/2006/relationships/hyperlink" Target="https://maps.app.goo.gl/Zt5QtF9qHRSF8k379" TargetMode="External"/><Relationship Id="rId52" Type="http://schemas.openxmlformats.org/officeDocument/2006/relationships/hyperlink" Target="https://drive.google.com/file/d/1a_aiuE9GMuTxLr5XkWRz2OiQMqKWWhSe/view?usp=drive_link" TargetMode="External"/><Relationship Id="rId55" Type="http://schemas.openxmlformats.org/officeDocument/2006/relationships/hyperlink" Target="https://drive.google.com/file/d/1y5ZQPKoI5w5r9EB5K6NipMDyBgQ0EQKI/view?usp=drive_link" TargetMode="External"/><Relationship Id="rId161" Type="http://schemas.openxmlformats.org/officeDocument/2006/relationships/hyperlink" Target="https://drive.google.com/file/d/1PplYG8UfVQihshDse8hxGjnB8Uabbmjj/view?usp=drive_link" TargetMode="External"/><Relationship Id="rId282" Type="http://schemas.openxmlformats.org/officeDocument/2006/relationships/hyperlink" Target="https://drive.google.com/file/d/1mmh_tRCNL7TG7anVqHb-RxRfFE5unNe2/view?usp=drive_link" TargetMode="External"/><Relationship Id="rId54" Type="http://schemas.openxmlformats.org/officeDocument/2006/relationships/hyperlink" Target="https://drive.google.com/drive/folders/13LXl6ScAnkYGiVKwX2Tk5rDEZN3wz_PQ?usp=sharing" TargetMode="External"/><Relationship Id="rId160" Type="http://schemas.openxmlformats.org/officeDocument/2006/relationships/hyperlink" Target="https://drive.google.com/drive/folders/10weXF_MQ45HPdBWOah3vTG7i9k_ZG-Tz?usp=sharing" TargetMode="External"/><Relationship Id="rId281" Type="http://schemas.openxmlformats.org/officeDocument/2006/relationships/hyperlink" Target="https://maps.app.goo.gl/Xkuu836CTpjCR4PS6" TargetMode="External"/><Relationship Id="rId57" Type="http://schemas.openxmlformats.org/officeDocument/2006/relationships/hyperlink" Target="https://drive.google.com/drive/folders/1itrIyDJ-CN2lOfqZWW4Y7vY90xrxjvdH?usp=sharing" TargetMode="External"/><Relationship Id="rId280" Type="http://schemas.openxmlformats.org/officeDocument/2006/relationships/hyperlink" Target="https://drive.google.com/file/d/1PgJvs82vTHFhMPfRuwcr2skMX4JujNi2/view?usp=drive_link" TargetMode="External"/><Relationship Id="rId56" Type="http://schemas.openxmlformats.org/officeDocument/2006/relationships/hyperlink" Target="https://maps.app.goo.gl/kU4KfWvpYtU1YJ3w7" TargetMode="External"/><Relationship Id="rId159" Type="http://schemas.openxmlformats.org/officeDocument/2006/relationships/hyperlink" Target="https://maps.app.goo.gl/YxWKqqr9JZFxh32D7" TargetMode="External"/><Relationship Id="rId59" Type="http://schemas.openxmlformats.org/officeDocument/2006/relationships/hyperlink" Target="https://maps.app.goo.gl/kpMcphm5uq1CnSHB8" TargetMode="External"/><Relationship Id="rId154" Type="http://schemas.openxmlformats.org/officeDocument/2006/relationships/hyperlink" Target="https://drive.google.com/file/d/1LAiBVwYZy71t7kF3zKJUoN1KBTaGynrc/view?usp=drive_link" TargetMode="External"/><Relationship Id="rId275" Type="http://schemas.openxmlformats.org/officeDocument/2006/relationships/hyperlink" Target="https://maps.app.goo.gl/Mk84QF84D2tWsSNo9" TargetMode="External"/><Relationship Id="rId58" Type="http://schemas.openxmlformats.org/officeDocument/2006/relationships/hyperlink" Target="https://drive.google.com/file/d/1uV6y8j9lhGcB5YRSUYvGofnGFhSIC051/view?usp=drive_link" TargetMode="External"/><Relationship Id="rId153" Type="http://schemas.openxmlformats.org/officeDocument/2006/relationships/hyperlink" Target="https://drive.google.com/drive/folders/1j2nlZr0_ISPsaYQVsnLWiT38Ceh4qDTM?usp=sharing" TargetMode="External"/><Relationship Id="rId274" Type="http://schemas.openxmlformats.org/officeDocument/2006/relationships/hyperlink" Target="https://drive.google.com/file/d/1QfxPyQr4tRevfosu6XWG144yUlS_M9N9/view?usp=drive_link" TargetMode="External"/><Relationship Id="rId152" Type="http://schemas.openxmlformats.org/officeDocument/2006/relationships/hyperlink" Target="https://maps.app.goo.gl/x18cc2AKmFKYtTfP7" TargetMode="External"/><Relationship Id="rId273" Type="http://schemas.openxmlformats.org/officeDocument/2006/relationships/hyperlink" Target="https://drive.google.com/drive/folders/1c1rn47KZLatDYKdEY3jTHdvOxje0QkLp?usp=sharing" TargetMode="External"/><Relationship Id="rId151" Type="http://schemas.openxmlformats.org/officeDocument/2006/relationships/hyperlink" Target="https://drive.google.com/file/d/1XlzrhEyfYg49wvmrx5O3qIp4vBbcA3Kj/view?usp=drive_link" TargetMode="External"/><Relationship Id="rId272" Type="http://schemas.openxmlformats.org/officeDocument/2006/relationships/hyperlink" Target="https://maps.app.goo.gl/vigwbQAT8yEB9ouW9" TargetMode="External"/><Relationship Id="rId158" Type="http://schemas.openxmlformats.org/officeDocument/2006/relationships/hyperlink" Target="https://drive.google.com/file/d/1YrmWWpSLXz4IJvoAg8uKbuB_o5zI_EAF/view?usp=drive_link" TargetMode="External"/><Relationship Id="rId279" Type="http://schemas.openxmlformats.org/officeDocument/2006/relationships/hyperlink" Target="https://drive.google.com/drive/folders/16MGNjQThJLO0880K512CSiia0whzB5fL?usp=sharing" TargetMode="External"/><Relationship Id="rId157" Type="http://schemas.openxmlformats.org/officeDocument/2006/relationships/hyperlink" Target="https://drive.google.com/file/d/1zmQ5yV_nMkAm_7k1LkexhuAqJT3JRNPj/view?usp=drive_link" TargetMode="External"/><Relationship Id="rId278" Type="http://schemas.openxmlformats.org/officeDocument/2006/relationships/hyperlink" Target="https://maps.app.goo.gl/DwqJywxecvRsB3QC8" TargetMode="External"/><Relationship Id="rId156" Type="http://schemas.openxmlformats.org/officeDocument/2006/relationships/hyperlink" Target="https://drive.google.com/drive/folders/1gFnmGX7ba6B4JkQ_ip8xCyVSgCxGzLIh?usp=sharing" TargetMode="External"/><Relationship Id="rId277" Type="http://schemas.openxmlformats.org/officeDocument/2006/relationships/hyperlink" Target="https://drive.google.com/file/d/1qrqb0PAzAuJSaXiJW84nML-C3CKcElzG/view?usp=drive_link" TargetMode="External"/><Relationship Id="rId155" Type="http://schemas.openxmlformats.org/officeDocument/2006/relationships/hyperlink" Target="https://maps.app.goo.gl/YxWKqqr9JZFxh32D7" TargetMode="External"/><Relationship Id="rId276" Type="http://schemas.openxmlformats.org/officeDocument/2006/relationships/hyperlink" Target="https://drive.google.com/drive/folders/1DVNKINxsIcEOVGCwwl0iMQoa2S0IBoFR?usp=sharing" TargetMode="External"/><Relationship Id="rId107" Type="http://schemas.openxmlformats.org/officeDocument/2006/relationships/hyperlink" Target="https://maps.app.goo.gl/YbYDJ6AHJ9zVACiC7" TargetMode="External"/><Relationship Id="rId228" Type="http://schemas.openxmlformats.org/officeDocument/2006/relationships/hyperlink" Target="https://drive.google.com/drive/folders/1UzwhndJzSDqzAI3M9BA7NbxPFxHeDVrh?usp=sharing" TargetMode="External"/><Relationship Id="rId106" Type="http://schemas.openxmlformats.org/officeDocument/2006/relationships/hyperlink" Target="https://drive.google.com/file/d/1c8SfS0TelhAVRlPYtC52sOH_UKdFa_5R/view?usp=drive_link" TargetMode="External"/><Relationship Id="rId227" Type="http://schemas.openxmlformats.org/officeDocument/2006/relationships/hyperlink" Target="https://maps.app.goo.gl/xpvvduRRRoMdXqrJ8" TargetMode="External"/><Relationship Id="rId105" Type="http://schemas.openxmlformats.org/officeDocument/2006/relationships/hyperlink" Target="https://drive.google.com/drive/folders/16EYfyMRF-Q4e6q3E6obmTUqvN56oS2d1?usp=sharing" TargetMode="External"/><Relationship Id="rId226" Type="http://schemas.openxmlformats.org/officeDocument/2006/relationships/hyperlink" Target="https://drive.google.com/file/d/1-3iIg_df27xw1QrUvJIhDYb72golQXsY/view?usp=drive_link" TargetMode="External"/><Relationship Id="rId104" Type="http://schemas.openxmlformats.org/officeDocument/2006/relationships/hyperlink" Target="https://maps.app.goo.gl/19Neggw1DuAyzyHy9" TargetMode="External"/><Relationship Id="rId225" Type="http://schemas.openxmlformats.org/officeDocument/2006/relationships/hyperlink" Target="https://drive.google.com/drive/folders/1beuk7iuMbl4H5pwUplePaE2lJWHs7jz5?usp=sharing" TargetMode="External"/><Relationship Id="rId109" Type="http://schemas.openxmlformats.org/officeDocument/2006/relationships/hyperlink" Target="https://drive.google.com/file/d/1nY_VJ6gh6lnbQnfuKwCfbOzRdWmL_DX7/view?usp=drive_link" TargetMode="External"/><Relationship Id="rId108" Type="http://schemas.openxmlformats.org/officeDocument/2006/relationships/hyperlink" Target="https://drive.google.com/drive/folders/1KUoyXswT1KPfbEjC6LkY5k-7oR28YVeG?usp=sharing" TargetMode="External"/><Relationship Id="rId229" Type="http://schemas.openxmlformats.org/officeDocument/2006/relationships/hyperlink" Target="https://drive.google.com/file/d/10YxY5OhGF8LvfN3iY42qsZLDnSEP-iM4/view?usp=drive_link" TargetMode="External"/><Relationship Id="rId220" Type="http://schemas.openxmlformats.org/officeDocument/2006/relationships/hyperlink" Target="https://drive.google.com/file/d/1rdzqOKylhf2GqCUzqK8XYjRB4saNHtD3/view?usp=drive_link" TargetMode="External"/><Relationship Id="rId103" Type="http://schemas.openxmlformats.org/officeDocument/2006/relationships/hyperlink" Target="https://drive.google.com/file/d/1nIzgFym5AvZeyttOnNlshzD9b1QYVSOO/view?usp=drive_link" TargetMode="External"/><Relationship Id="rId224" Type="http://schemas.openxmlformats.org/officeDocument/2006/relationships/hyperlink" Target="https://maps.app.goo.gl/scQMb9Wobgm2ftT49" TargetMode="External"/><Relationship Id="rId102" Type="http://schemas.openxmlformats.org/officeDocument/2006/relationships/hyperlink" Target="https://drive.google.com/file/d/1TNvdAq7_9L9tq1IByWOm08AWiWZ8jgvM/view?usp=drive_link" TargetMode="External"/><Relationship Id="rId223" Type="http://schemas.openxmlformats.org/officeDocument/2006/relationships/hyperlink" Target="https://drive.google.com/file/d/1tCFnpmLz9PL8JW3PrQKfTB9f3P4Xc6Ds/view?usp=drive_link" TargetMode="External"/><Relationship Id="rId101" Type="http://schemas.openxmlformats.org/officeDocument/2006/relationships/hyperlink" Target="https://drive.google.com/drive/folders/1tv9vaGjdMo682-sk2pP1DPdZ8VZ0Dgc3?usp=sharing" TargetMode="External"/><Relationship Id="rId222" Type="http://schemas.openxmlformats.org/officeDocument/2006/relationships/hyperlink" Target="https://drive.google.com/drive/folders/1-OD0R99wWGObmlucHXOSXL0zPX3Y53ev?usp=sharing" TargetMode="External"/><Relationship Id="rId100" Type="http://schemas.openxmlformats.org/officeDocument/2006/relationships/hyperlink" Target="https://maps.app.goo.gl/FE9rk1vspptU8GfN7" TargetMode="External"/><Relationship Id="rId221" Type="http://schemas.openxmlformats.org/officeDocument/2006/relationships/hyperlink" Target="https://maps.app.goo.gl/bu5sddPaus7o7VSv5" TargetMode="External"/><Relationship Id="rId217" Type="http://schemas.openxmlformats.org/officeDocument/2006/relationships/hyperlink" Target="https://maps.app.goo.gl/su6reWkwaCww29pQ6" TargetMode="External"/><Relationship Id="rId216" Type="http://schemas.openxmlformats.org/officeDocument/2006/relationships/hyperlink" Target="https://drive.google.com/file/d/1hnl8Jp_CyzXMyj5UKMlRS_E3AjTrpAGP/view?usp=drive_link" TargetMode="External"/><Relationship Id="rId215" Type="http://schemas.openxmlformats.org/officeDocument/2006/relationships/hyperlink" Target="https://drive.google.com/file/d/1Fz7CyND4JKyV5qJQSGo6bYaTLJ_DjZNF/view?usp=drive_link" TargetMode="External"/><Relationship Id="rId214" Type="http://schemas.openxmlformats.org/officeDocument/2006/relationships/hyperlink" Target="https://drive.google.com/drive/folders/194yLwmiCAdDgcIPv_kCrj3z0al6pJFSe?usp=sharing" TargetMode="External"/><Relationship Id="rId219" Type="http://schemas.openxmlformats.org/officeDocument/2006/relationships/hyperlink" Target="https://drive.google.com/drive/folders/1f5YpoOKUHV7nGfWpDppCUayVCSTe5zH2?usp=sharing" TargetMode="External"/><Relationship Id="rId218" Type="http://schemas.openxmlformats.org/officeDocument/2006/relationships/hyperlink" Target="https://maps.app.goo.gl/YRzKFTCHCCqNHpZo9" TargetMode="External"/><Relationship Id="rId213" Type="http://schemas.openxmlformats.org/officeDocument/2006/relationships/hyperlink" Target="https://maps.app.goo.gl/uSEV3gqTZ6eUYuop7" TargetMode="External"/><Relationship Id="rId212" Type="http://schemas.openxmlformats.org/officeDocument/2006/relationships/hyperlink" Target="https://drive.google.com/file/d/1KVO3phtrcbNdhGcXdF9_KtErtYIf8tjQ/view?usp=drive_link" TargetMode="External"/><Relationship Id="rId211" Type="http://schemas.openxmlformats.org/officeDocument/2006/relationships/hyperlink" Target="https://drive.google.com/file/d/17XfpIISJAUgjcP03j12wW50wkxtvoSWD/view?usp=drive_link" TargetMode="External"/><Relationship Id="rId210" Type="http://schemas.openxmlformats.org/officeDocument/2006/relationships/hyperlink" Target="https://drive.google.com/file/d/1L5TL-UvFIWZCu0Iaa1i7gB57cOxiBWce/view?usp=drive_link" TargetMode="External"/><Relationship Id="rId129" Type="http://schemas.openxmlformats.org/officeDocument/2006/relationships/hyperlink" Target="https://maps.app.goo.gl/si9AjGTuLDK5UTMFA" TargetMode="External"/><Relationship Id="rId128" Type="http://schemas.openxmlformats.org/officeDocument/2006/relationships/hyperlink" Target="https://drive.google.com/file/d/1c0iS52F6Pc7NEBZ5mmHbbN37l4kRuZUE/view?usp=drive_link" TargetMode="External"/><Relationship Id="rId249" Type="http://schemas.openxmlformats.org/officeDocument/2006/relationships/hyperlink" Target="https://drive.google.com/drive/folders/1faosDdy5laNB-oQEN4RNszP7ZnWbG119?usp=sharing" TargetMode="External"/><Relationship Id="rId127" Type="http://schemas.openxmlformats.org/officeDocument/2006/relationships/hyperlink" Target="https://drive.google.com/file/d/1dc_n76hQuer8dAbVSq6RU2f2UpPS90-J/view?usp=drive_link" TargetMode="External"/><Relationship Id="rId248" Type="http://schemas.openxmlformats.org/officeDocument/2006/relationships/hyperlink" Target="https://maps.app.goo.gl/Q1ncn8nkGZQJqeQe9" TargetMode="External"/><Relationship Id="rId126" Type="http://schemas.openxmlformats.org/officeDocument/2006/relationships/hyperlink" Target="https://drive.google.com/drive/folders/12sFeVpo-53Uow4yYseLzfLgKwpyhql1b?usp=sharing" TargetMode="External"/><Relationship Id="rId247" Type="http://schemas.openxmlformats.org/officeDocument/2006/relationships/hyperlink" Target="https://drive.google.com/file/d/1ydg-fiBBH8jUIEdbp0vQSp0p9RGON8-1/view?usp=drive_link" TargetMode="External"/><Relationship Id="rId121" Type="http://schemas.openxmlformats.org/officeDocument/2006/relationships/hyperlink" Target="https://maps.app.goo.gl/A8U1XPGMa9PKPoCt5" TargetMode="External"/><Relationship Id="rId242" Type="http://schemas.openxmlformats.org/officeDocument/2006/relationships/hyperlink" Target="https://drive.google.com/drive/folders/1rBaqU8JW4mM9ujUZyH2iMonPKi9Hbpi8?usp=sharing" TargetMode="External"/><Relationship Id="rId120" Type="http://schemas.openxmlformats.org/officeDocument/2006/relationships/hyperlink" Target="https://drive.google.com/file/d/10z-iToeC6XGDesP29bY0KKzn-o6EbzRF/view?usp=drive_link" TargetMode="External"/><Relationship Id="rId241" Type="http://schemas.openxmlformats.org/officeDocument/2006/relationships/hyperlink" Target="https://drive.google.com/file/d/1KwubcEsyYjsHCIccCf3SRiiWefnmqEkI/view?usp=drive_link" TargetMode="External"/><Relationship Id="rId240" Type="http://schemas.openxmlformats.org/officeDocument/2006/relationships/hyperlink" Target="https://drive.google.com/file/d/1gDt0jro3BtlDPEuGrFHaWUfFZIM1eZhK/view?usp=drive_link" TargetMode="External"/><Relationship Id="rId125" Type="http://schemas.openxmlformats.org/officeDocument/2006/relationships/hyperlink" Target="https://maps.app.goo.gl/79WA32jsLVgs5ZYN6" TargetMode="External"/><Relationship Id="rId246" Type="http://schemas.openxmlformats.org/officeDocument/2006/relationships/hyperlink" Target="https://maps.app.goo.gl/M8ncAYkxUhK4cvWk6" TargetMode="External"/><Relationship Id="rId124" Type="http://schemas.openxmlformats.org/officeDocument/2006/relationships/hyperlink" Target="https://drive.google.com/file/d/1iH_-jl39iwvqMP-MCb7r7vHAKoQXumw6/view?usp=drive_link" TargetMode="External"/><Relationship Id="rId245" Type="http://schemas.openxmlformats.org/officeDocument/2006/relationships/hyperlink" Target="https://drive.google.com/file/d/1bIUrgOsQkz5b3JtRhjMMmqM_1U5AbE2Z/view?usp=drive_link" TargetMode="External"/><Relationship Id="rId123" Type="http://schemas.openxmlformats.org/officeDocument/2006/relationships/hyperlink" Target="https://drive.google.com/file/d/1Mp3FS-HgZTxln5POEJnKGEN04YLbKQqD/view?usp=drive_link" TargetMode="External"/><Relationship Id="rId244" Type="http://schemas.openxmlformats.org/officeDocument/2006/relationships/hyperlink" Target="https://maps.app.goo.gl/SJt9Zc9oq9jdA4Pk6" TargetMode="External"/><Relationship Id="rId122" Type="http://schemas.openxmlformats.org/officeDocument/2006/relationships/hyperlink" Target="https://drive.google.com/drive/folders/1q1RYOGi_6qOR2MR3ukEhkDE1CimmLQKW?usp=sharing" TargetMode="External"/><Relationship Id="rId243" Type="http://schemas.openxmlformats.org/officeDocument/2006/relationships/hyperlink" Target="https://drive.google.com/file/d/1X43cujRd22x3ZDcUSUQs6Fu0p-h4P7VX/view?usp=drive_link" TargetMode="External"/><Relationship Id="rId95" Type="http://schemas.openxmlformats.org/officeDocument/2006/relationships/hyperlink" Target="https://drive.google.com/file/d/1Ppb-AuvpsUU4L_J8Pu-EdGzvMd_wP9ku/view?usp=drive_link" TargetMode="External"/><Relationship Id="rId94" Type="http://schemas.openxmlformats.org/officeDocument/2006/relationships/hyperlink" Target="https://drive.google.com/drive/folders/1MzE_VaxPKS-Oh3ja5-0PBmAm-b0KWcVI?usp=sharing" TargetMode="External"/><Relationship Id="rId97" Type="http://schemas.openxmlformats.org/officeDocument/2006/relationships/hyperlink" Target="https://maps.app.goo.gl/CbmSBp2sb6RQ9jVB7" TargetMode="External"/><Relationship Id="rId96" Type="http://schemas.openxmlformats.org/officeDocument/2006/relationships/hyperlink" Target="https://drive.google.com/file/d/1v9T7oist6y6qrqa1gRGUH8qAe2BrK3v6/view?usp=drive_link" TargetMode="External"/><Relationship Id="rId99" Type="http://schemas.openxmlformats.org/officeDocument/2006/relationships/hyperlink" Target="https://drive.google.com/file/d/1DQC-lGxGVrTlDsBludZ5TsaXRjPqRrfo/view?usp=drive_link" TargetMode="External"/><Relationship Id="rId98" Type="http://schemas.openxmlformats.org/officeDocument/2006/relationships/hyperlink" Target="https://drive.google.com/drive/folders/1GiAGert_S8tT8uAD89AW577ihdteJFGk?usp=sharing" TargetMode="External"/><Relationship Id="rId91" Type="http://schemas.openxmlformats.org/officeDocument/2006/relationships/hyperlink" Target="https://drive.google.com/drive/folders/1tzz9ur2t2R82ApCj2SmrGda5sTnUMyIZ?usp=sharing" TargetMode="External"/><Relationship Id="rId90" Type="http://schemas.openxmlformats.org/officeDocument/2006/relationships/hyperlink" Target="https://maps.app.goo.gl/xs9uzJWrK9KYF5gg8" TargetMode="External"/><Relationship Id="rId93" Type="http://schemas.openxmlformats.org/officeDocument/2006/relationships/hyperlink" Target="https://maps.app.goo.gl/rZ7w6Zpp3WQDhL5Z7" TargetMode="External"/><Relationship Id="rId92" Type="http://schemas.openxmlformats.org/officeDocument/2006/relationships/hyperlink" Target="https://drive.google.com/file/d/12Mi39nZCWs_U44R5uIA1ux94q980SvAX/view?usp=drive_link" TargetMode="External"/><Relationship Id="rId118" Type="http://schemas.openxmlformats.org/officeDocument/2006/relationships/hyperlink" Target="https://drive.google.com/drive/folders/1tEv8pxKafWDu34pyUKgj_pd3UQ51rjLx?usp=sharing" TargetMode="External"/><Relationship Id="rId239" Type="http://schemas.openxmlformats.org/officeDocument/2006/relationships/hyperlink" Target="https://drive.google.com/drive/folders/16fI-gC_rE8nCAPcqHBJmge3NbqZRYYso?usp=sharing" TargetMode="External"/><Relationship Id="rId117" Type="http://schemas.openxmlformats.org/officeDocument/2006/relationships/hyperlink" Target="https://maps.app.goo.gl/MtpWecgtv3Xd5iy78" TargetMode="External"/><Relationship Id="rId238" Type="http://schemas.openxmlformats.org/officeDocument/2006/relationships/hyperlink" Target="https://maps.app.goo.gl/E5CD4LEmwbLap1Bm6" TargetMode="External"/><Relationship Id="rId116" Type="http://schemas.openxmlformats.org/officeDocument/2006/relationships/hyperlink" Target="https://drive.google.com/file/d/1B7Rg59_DBVsonD2chuFeLLokMycDruAs/view?usp=drive_link" TargetMode="External"/><Relationship Id="rId237" Type="http://schemas.openxmlformats.org/officeDocument/2006/relationships/hyperlink" Target="https://drive.google.com/drive/folders/1mWCi4g43xKxGFJH4KQg1GAiJk5yV_WfB?usp=sharing" TargetMode="External"/><Relationship Id="rId115" Type="http://schemas.openxmlformats.org/officeDocument/2006/relationships/hyperlink" Target="https://drive.google.com/file/d/1E8Xv8E_z0nixrV3AXtcwkKk8SeGySyvV/view?usp=drive_link" TargetMode="External"/><Relationship Id="rId236" Type="http://schemas.openxmlformats.org/officeDocument/2006/relationships/hyperlink" Target="https://maps.app.goo.gl/5yyLuYNEnStHVUZ1A" TargetMode="External"/><Relationship Id="rId119" Type="http://schemas.openxmlformats.org/officeDocument/2006/relationships/hyperlink" Target="https://drive.google.com/file/d/13vctueBRrzDlakGcb2JZPh1Lu3lX7X4x/view?usp=drive_link" TargetMode="External"/><Relationship Id="rId110" Type="http://schemas.openxmlformats.org/officeDocument/2006/relationships/hyperlink" Target="https://drive.google.com/file/d/1f_tWJ19MYCXCvuCeeXo5ZNJHcoOZoyLd/view?usp=drive_link" TargetMode="External"/><Relationship Id="rId231" Type="http://schemas.openxmlformats.org/officeDocument/2006/relationships/hyperlink" Target="https://drive.google.com/drive/folders/1UNDpjqzebsalOEAf1DOT_8_PzPcyueEZ?usp=sharing" TargetMode="External"/><Relationship Id="rId230" Type="http://schemas.openxmlformats.org/officeDocument/2006/relationships/hyperlink" Target="https://maps.app.goo.gl/Nhbu3D37RYQ82YWb8" TargetMode="External"/><Relationship Id="rId114" Type="http://schemas.openxmlformats.org/officeDocument/2006/relationships/hyperlink" Target="https://drive.google.com/file/d/1QCazFVydZ_gUGfTflX9pn8FerDIah_JP/view?usp=drive_link" TargetMode="External"/><Relationship Id="rId235" Type="http://schemas.openxmlformats.org/officeDocument/2006/relationships/hyperlink" Target="https://drive.google.com/file/d/1gIIK9aSbhCGnfkZS9JtyIgquDzNwn1Fo/view?usp=drive_link" TargetMode="External"/><Relationship Id="rId113" Type="http://schemas.openxmlformats.org/officeDocument/2006/relationships/hyperlink" Target="https://drive.google.com/drive/folders/1RARch1d4E8IcYdTBtHhEQx3RD_Zg-pVF?usp=sharing" TargetMode="External"/><Relationship Id="rId234" Type="http://schemas.openxmlformats.org/officeDocument/2006/relationships/hyperlink" Target="https://drive.google.com/drive/folders/1_0x7gSbYxYscDXfUPlL5IypDd0AAzqSG?usp=sharing" TargetMode="External"/><Relationship Id="rId112" Type="http://schemas.openxmlformats.org/officeDocument/2006/relationships/hyperlink" Target="https://maps.app.goo.gl/2BDMrKxgKtxsCuAj8" TargetMode="External"/><Relationship Id="rId233" Type="http://schemas.openxmlformats.org/officeDocument/2006/relationships/hyperlink" Target="https://maps.app.goo.gl/tGuh4pb9CbBUuZbN6" TargetMode="External"/><Relationship Id="rId111" Type="http://schemas.openxmlformats.org/officeDocument/2006/relationships/hyperlink" Target="https://drive.google.com/file/d/1CrFQjfjcpffoTMSjaqpzDUkEuxR_7PKW/view?usp=drive_link" TargetMode="External"/><Relationship Id="rId232" Type="http://schemas.openxmlformats.org/officeDocument/2006/relationships/hyperlink" Target="https://drive.google.com/file/d/1NaSXTCZAMW742a5yZ6OXGUjnztMhiNLf/view?usp=drive_link" TargetMode="External"/><Relationship Id="rId305" Type="http://schemas.openxmlformats.org/officeDocument/2006/relationships/hyperlink" Target="https://drive.google.com/drive/folders/13OaYy-tRo6mDyNpqCruFUgGlOVTH2FCx?usp=sharing" TargetMode="External"/><Relationship Id="rId304" Type="http://schemas.openxmlformats.org/officeDocument/2006/relationships/hyperlink" Target="https://maps.app.goo.gl/i68JMVzMJqXEP7nd9" TargetMode="External"/><Relationship Id="rId303" Type="http://schemas.openxmlformats.org/officeDocument/2006/relationships/hyperlink" Target="https://drive.google.com/file/d/1ao9ndBH3F7LAuPAxc0tD_I8TwMsD_Op7/view?usp=drive_link" TargetMode="External"/><Relationship Id="rId302" Type="http://schemas.openxmlformats.org/officeDocument/2006/relationships/hyperlink" Target="https://drive.google.com/drive/folders/16q2IyeXDxZkrKtJC8dyZ44st6as7cq8k?usp=sharing" TargetMode="External"/><Relationship Id="rId309" Type="http://schemas.openxmlformats.org/officeDocument/2006/relationships/hyperlink" Target="https://drive.google.com/file/d/1VrUtIwmLI2A1uM82pzV104AK38ItHnjX/view?usp=drive_link" TargetMode="External"/><Relationship Id="rId308" Type="http://schemas.openxmlformats.org/officeDocument/2006/relationships/hyperlink" Target="https://drive.google.com/drive/folders/1JsMKpSgwxD-htrG_HUeIMRUxlBy6_EMN?usp=sharing" TargetMode="External"/><Relationship Id="rId307" Type="http://schemas.openxmlformats.org/officeDocument/2006/relationships/hyperlink" Target="https://maps.app.goo.gl/gd5jL96hjQKcKucV9" TargetMode="External"/><Relationship Id="rId306" Type="http://schemas.openxmlformats.org/officeDocument/2006/relationships/hyperlink" Target="https://drive.google.com/file/d/1Pk4TsM64puEhPcKuCVOvGuxzT--pKdAf/view?usp=drive_link" TargetMode="External"/><Relationship Id="rId301" Type="http://schemas.openxmlformats.org/officeDocument/2006/relationships/hyperlink" Target="https://maps.app.goo.gl/aD2iQHfTSJ9gtXHz9" TargetMode="External"/><Relationship Id="rId300" Type="http://schemas.openxmlformats.org/officeDocument/2006/relationships/hyperlink" Target="https://drive.google.com/file/d/13NAonL24c10kh9qCH8J2Yd2t6BcCPy6C/view?usp=drive_link" TargetMode="External"/><Relationship Id="rId206" Type="http://schemas.openxmlformats.org/officeDocument/2006/relationships/hyperlink" Target="https://drive.google.com/file/d/1lRPvwD3LcxqM9GeglCrXlC-wGD4jL620/view?usp=drive_link" TargetMode="External"/><Relationship Id="rId327" Type="http://schemas.openxmlformats.org/officeDocument/2006/relationships/hyperlink" Target="https://docs.google.com/spreadsheets/d/1hx6jlSqtUQswElG6dIS52z5vTaNU0uVgruNJ9_ZutD8/edit?usp=sharing" TargetMode="External"/><Relationship Id="rId205" Type="http://schemas.openxmlformats.org/officeDocument/2006/relationships/hyperlink" Target="https://drive.google.com/file/d/1IqstZROqRvIlKEqh6PVrsCwBxPcniRdR/view?usp=drive_link" TargetMode="External"/><Relationship Id="rId326" Type="http://schemas.openxmlformats.org/officeDocument/2006/relationships/hyperlink" Target="https://lookerstudio.google.com/s/sPJRdf3jgD8" TargetMode="External"/><Relationship Id="rId204" Type="http://schemas.openxmlformats.org/officeDocument/2006/relationships/hyperlink" Target="https://drive.google.com/drive/folders/1RFumdlgMje_ibwXxl0WevAEFlvJ4j9ax?usp=sharing" TargetMode="External"/><Relationship Id="rId325" Type="http://schemas.openxmlformats.org/officeDocument/2006/relationships/hyperlink" Target="https://docs.google.com/spreadsheets/d/1-Nr4-VM8I-KfVPofgAs3yPc5btT1v9KHDylkT7uOBIc/edit?usp=sharing" TargetMode="External"/><Relationship Id="rId203" Type="http://schemas.openxmlformats.org/officeDocument/2006/relationships/hyperlink" Target="https://maps.app.goo.gl/Z9KZCPD84BrWsN4v6" TargetMode="External"/><Relationship Id="rId324" Type="http://schemas.openxmlformats.org/officeDocument/2006/relationships/hyperlink" Target="https://lookerstudio.google.com/u/1/reporting/264ef656-41f8-4ce8-9bc5-a169ff13b5e6/page/page_12345" TargetMode="External"/><Relationship Id="rId209" Type="http://schemas.openxmlformats.org/officeDocument/2006/relationships/hyperlink" Target="https://drive.google.com/file/d/1rsqNaCbrK-TC9JoHdJ5ZwgCMmWvNwhJd/view?usp=drive_link" TargetMode="External"/><Relationship Id="rId208" Type="http://schemas.openxmlformats.org/officeDocument/2006/relationships/hyperlink" Target="https://drive.google.com/drive/folders/1zYIOb3m5fk0UV5OBN4C8bQiJV8gNkgNr?usp=sharing" TargetMode="External"/><Relationship Id="rId329" Type="http://schemas.openxmlformats.org/officeDocument/2006/relationships/vmlDrawing" Target="../drawings/vmlDrawing2.vml"/><Relationship Id="rId207" Type="http://schemas.openxmlformats.org/officeDocument/2006/relationships/hyperlink" Target="https://maps.app.goo.gl/gQFxdfN7FNn9giib9" TargetMode="External"/><Relationship Id="rId328" Type="http://schemas.openxmlformats.org/officeDocument/2006/relationships/drawing" Target="../drawings/drawing2.xml"/><Relationship Id="rId202" Type="http://schemas.openxmlformats.org/officeDocument/2006/relationships/hyperlink" Target="https://drive.google.com/file/d/1bERXGltJ00klcd5BuW4fSqljQcRvlrys/view?usp=drive_link" TargetMode="External"/><Relationship Id="rId323" Type="http://schemas.openxmlformats.org/officeDocument/2006/relationships/hyperlink" Target="https://docs.google.com/spreadsheets/d/1ZrIbRwjNB5R37v5XTs6iZcIibafCrBVXqRA5XTH5ZB4/edit?gid=181266678" TargetMode="External"/><Relationship Id="rId201" Type="http://schemas.openxmlformats.org/officeDocument/2006/relationships/hyperlink" Target="https://drive.google.com/drive/folders/1k8glEbKx4ORrTN84kI7U2uTXT2qbmEil?usp=sharing" TargetMode="External"/><Relationship Id="rId322" Type="http://schemas.openxmlformats.org/officeDocument/2006/relationships/hyperlink" Target="https://lookerstudio.google.com/u/1/reporting/264ef656-41f8-4ce8-9bc5-a169ff13b5e6/page/page_12345" TargetMode="External"/><Relationship Id="rId200" Type="http://schemas.openxmlformats.org/officeDocument/2006/relationships/hyperlink" Target="https://maps.app.goo.gl/TwLG7j9FnCoPKWhE8" TargetMode="External"/><Relationship Id="rId321" Type="http://schemas.openxmlformats.org/officeDocument/2006/relationships/hyperlink" Target="https://maps.app.goo.gl/C5FiVqcvCWA7L3XJ6" TargetMode="External"/><Relationship Id="rId320" Type="http://schemas.openxmlformats.org/officeDocument/2006/relationships/hyperlink" Target="https://drive.google.com/file/d/1gnm8veOb6_ZjB7JbY_XE8yzfdnxSAYV1/view?usp=drive_link" TargetMode="External"/><Relationship Id="rId316" Type="http://schemas.openxmlformats.org/officeDocument/2006/relationships/hyperlink" Target="https://maps.app.goo.gl/HiBKJfZ9fDDrz4ieA" TargetMode="External"/><Relationship Id="rId315" Type="http://schemas.openxmlformats.org/officeDocument/2006/relationships/hyperlink" Target="https://drive.google.com/file/d/1xXqKtSCVVSBaG1_LsXwaALH32VxVcPcj/view?usp=drive_link" TargetMode="External"/><Relationship Id="rId314" Type="http://schemas.openxmlformats.org/officeDocument/2006/relationships/hyperlink" Target="https://drive.google.com/file/d/1_SCeqT6m4zL4FGJuM0aMDTBICsOXhRaO/view?usp=drive_link" TargetMode="External"/><Relationship Id="rId313" Type="http://schemas.openxmlformats.org/officeDocument/2006/relationships/hyperlink" Target="https://maps.app.goo.gl/6nK2ESa5RmoxXfpX7" TargetMode="External"/><Relationship Id="rId319" Type="http://schemas.openxmlformats.org/officeDocument/2006/relationships/hyperlink" Target="https://drive.google.com/file/d/10pn57qqiXxF6_z_YGkSmBjhSIzzH7Q1m/view?usp=drive_link" TargetMode="External"/><Relationship Id="rId318" Type="http://schemas.openxmlformats.org/officeDocument/2006/relationships/hyperlink" Target="https://maps.app.goo.gl/qG2AxcMFUn7scG2i8" TargetMode="External"/><Relationship Id="rId317" Type="http://schemas.openxmlformats.org/officeDocument/2006/relationships/hyperlink" Target="https://drive.google.com/file/d/1SsC4aILtsKN8-FqzVXj1d7JERfi9iZ5X/view?usp=drive_link" TargetMode="External"/><Relationship Id="rId312" Type="http://schemas.openxmlformats.org/officeDocument/2006/relationships/hyperlink" Target="https://drive.google.com/file/d/1J-XYCL6CFOacV1HHeuxkZnfdyB_kTVrs/view?usp=drive_link" TargetMode="External"/><Relationship Id="rId311" Type="http://schemas.openxmlformats.org/officeDocument/2006/relationships/hyperlink" Target="https://drive.google.com/file/d/1q-ulq8ye_EG7MEZS12Myp7Tfc5ibX0S_/view?usp=drive_link" TargetMode="External"/><Relationship Id="rId310" Type="http://schemas.openxmlformats.org/officeDocument/2006/relationships/hyperlink" Target="https://drive.google.com/drive/folders/1jBAfHTPQdfVQm8vANBDxQe2Z2eHIQk6B?usp=sharing" TargetMode="Externa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drive/folders/1GKchGJ6MOtgJc2b_Nllj1PI6j1oDH_SK?usp=sharing" TargetMode="External"/><Relationship Id="rId190" Type="http://schemas.openxmlformats.org/officeDocument/2006/relationships/hyperlink" Target="https://drive.google.com/drive/folders/1ylJH7sefVbFsH1afuGCQND6YlVfnM9u5?usp=sharing" TargetMode="External"/><Relationship Id="rId42" Type="http://schemas.openxmlformats.org/officeDocument/2006/relationships/hyperlink" Target="https://drive.google.com/file/d/1w9oc1ZggFpJTCj5yDZJaSh9uc8rEpY3D/view?usp=drive_link" TargetMode="External"/><Relationship Id="rId41" Type="http://schemas.openxmlformats.org/officeDocument/2006/relationships/hyperlink" Target="https://drive.google.com/file/d/1p7291VGIT4rP_wstvXbfjegBnwSAx0Gm/view?usp=drive_link" TargetMode="External"/><Relationship Id="rId44" Type="http://schemas.openxmlformats.org/officeDocument/2006/relationships/hyperlink" Target="https://drive.google.com/drive/folders/1EQGeTA6Ut9G6Mc1c36sPeztG_mDFfKRd?usp=sharing" TargetMode="External"/><Relationship Id="rId194" Type="http://schemas.openxmlformats.org/officeDocument/2006/relationships/hyperlink" Target="https://drive.google.com/file/d/1fdfdwMMPPf8CplfXNLl7ESBT1HiSRkzz/view?usp=drive_link" TargetMode="External"/><Relationship Id="rId43" Type="http://schemas.openxmlformats.org/officeDocument/2006/relationships/hyperlink" Target="https://maps.app.goo.gl/sPmuK4LAuseaAyZR8" TargetMode="External"/><Relationship Id="rId193" Type="http://schemas.openxmlformats.org/officeDocument/2006/relationships/hyperlink" Target="https://drive.google.com/drive/folders/1ExyZBMRLhVdhs8zCKWVkYCaRwatqQDfl?usp=sharing" TargetMode="External"/><Relationship Id="rId46" Type="http://schemas.openxmlformats.org/officeDocument/2006/relationships/hyperlink" Target="https://drive.google.com/file/d/1KYTliQwZLN7VdznZ-uIHkWvlJ-YXlWBL/view?usp=drive_link" TargetMode="External"/><Relationship Id="rId192" Type="http://schemas.openxmlformats.org/officeDocument/2006/relationships/hyperlink" Target="https://maps.app.goo.gl/xSBv2wmV4pN7Rxxn6" TargetMode="External"/><Relationship Id="rId45" Type="http://schemas.openxmlformats.org/officeDocument/2006/relationships/hyperlink" Target="https://drive.google.com/file/d/1gm63E1NCOPOtLg1WVTcrk0ahBu-J5DJw/view?usp=drive_link" TargetMode="External"/><Relationship Id="rId191" Type="http://schemas.openxmlformats.org/officeDocument/2006/relationships/hyperlink" Target="https://drive.google.com/file/d/1Cd9BLE24ZxeFIEcSlyeuGkHpLLeH37x1/view?usp=drive_link" TargetMode="External"/><Relationship Id="rId48" Type="http://schemas.openxmlformats.org/officeDocument/2006/relationships/hyperlink" Target="https://drive.google.com/drive/folders/1hK5jr1AW7hoeEuCGi_ABWndofUXv0kKn?usp=sharing" TargetMode="External"/><Relationship Id="rId187" Type="http://schemas.openxmlformats.org/officeDocument/2006/relationships/hyperlink" Target="https://drive.google.com/file/d/1nchoTrFo11cr44kvCIQwfD96Q3QUEor1/view?usp=drive_link" TargetMode="External"/><Relationship Id="rId47" Type="http://schemas.openxmlformats.org/officeDocument/2006/relationships/hyperlink" Target="https://maps.app.goo.gl/8Gg5HRdaLa9ZY2db7" TargetMode="External"/><Relationship Id="rId186" Type="http://schemas.openxmlformats.org/officeDocument/2006/relationships/hyperlink" Target="https://drive.google.com/drive/folders/1JXmSlsebl6H0944hsfy210KRYO0q0ZYH?usp=sharing" TargetMode="External"/><Relationship Id="rId185" Type="http://schemas.openxmlformats.org/officeDocument/2006/relationships/hyperlink" Target="https://maps.app.goo.gl/pLpGNTBiFeVMs7e4A" TargetMode="External"/><Relationship Id="rId49" Type="http://schemas.openxmlformats.org/officeDocument/2006/relationships/hyperlink" Target="https://drive.google.com/file/d/1kjtFgMWkJdyuVqxO4cE6i0JpQMLkRk8-/view?usp=drive_link" TargetMode="External"/><Relationship Id="rId184" Type="http://schemas.openxmlformats.org/officeDocument/2006/relationships/hyperlink" Target="https://drive.google.com/file/d/1IX2jGfD828hEsOD2Cqbonvj9uZh6-95V/view?usp=drive_link" TargetMode="External"/><Relationship Id="rId189" Type="http://schemas.openxmlformats.org/officeDocument/2006/relationships/hyperlink" Target="https://maps.app.goo.gl/oYfR9B6oN8RN6dSy9" TargetMode="External"/><Relationship Id="rId188" Type="http://schemas.openxmlformats.org/officeDocument/2006/relationships/hyperlink" Target="https://drive.google.com/file/d/1slVLujG40cVEXfQsXJXVxZgR3_N7JoWK/view?usp=drive_link" TargetMode="External"/><Relationship Id="rId31" Type="http://schemas.openxmlformats.org/officeDocument/2006/relationships/hyperlink" Target="https://drive.google.com/drive/folders/17yFJHtFOOp8UogGfXbZg0cBcETER_SbP?usp=sharing" TargetMode="External"/><Relationship Id="rId30" Type="http://schemas.openxmlformats.org/officeDocument/2006/relationships/hyperlink" Target="https://maps.app.goo.gl/Y4kk5z93WasJo4c97" TargetMode="External"/><Relationship Id="rId33" Type="http://schemas.openxmlformats.org/officeDocument/2006/relationships/hyperlink" Target="https://drive.google.com/file/d/1FnCi0uhlNPP89cJZibYvWJb1ArEnGoNq/view?usp=drive_link" TargetMode="External"/><Relationship Id="rId183" Type="http://schemas.openxmlformats.org/officeDocument/2006/relationships/hyperlink" Target="https://drive.google.com/file/d/1Av2KU3hQ_sxXdI1Ysek-Y7v8dxmYVgqq/view?usp=drive_link" TargetMode="External"/><Relationship Id="rId32" Type="http://schemas.openxmlformats.org/officeDocument/2006/relationships/hyperlink" Target="https://drive.google.com/file/d/1eetHkIa6-79zB7zpIceB43rozfrDK790/view?usp=drive_link" TargetMode="External"/><Relationship Id="rId182" Type="http://schemas.openxmlformats.org/officeDocument/2006/relationships/hyperlink" Target="https://drive.google.com/drive/folders/1_qsG_3BGEjBo7TCZ9VkPv2SlDzjLtnzf?usp=sharing" TargetMode="External"/><Relationship Id="rId35" Type="http://schemas.openxmlformats.org/officeDocument/2006/relationships/hyperlink" Target="https://drive.google.com/drive/folders/1QIMqdd0py12Mj-F6kxeQvRtuyvWI2r_3?usp=sharing" TargetMode="External"/><Relationship Id="rId181" Type="http://schemas.openxmlformats.org/officeDocument/2006/relationships/hyperlink" Target="https://maps.app.goo.gl/JHvWU18Q48ApZwNN9" TargetMode="External"/><Relationship Id="rId34" Type="http://schemas.openxmlformats.org/officeDocument/2006/relationships/hyperlink" Target="https://maps.app.goo.gl/Q49LsS9RmXoPoMoc6" TargetMode="External"/><Relationship Id="rId180" Type="http://schemas.openxmlformats.org/officeDocument/2006/relationships/hyperlink" Target="https://drive.google.com/file/d/1Zi5MOMn6uGjxw4T9YJbwJVYvd6PczS-_/view?usp=drive_link" TargetMode="External"/><Relationship Id="rId37" Type="http://schemas.openxmlformats.org/officeDocument/2006/relationships/hyperlink" Target="https://drive.google.com/file/d/1vs3sIpcGgLl4w3mnS4mSAwiCiJHe1iZD/view?usp=drive_link" TargetMode="External"/><Relationship Id="rId176" Type="http://schemas.openxmlformats.org/officeDocument/2006/relationships/hyperlink" Target="https://drive.google.com/file/d/1R5n54OO073wIKlev5EH3lt0JjntWsH9E/view?usp=drive_link" TargetMode="External"/><Relationship Id="rId297" Type="http://schemas.openxmlformats.org/officeDocument/2006/relationships/hyperlink" Target="https://maps.app.goo.gl/HgXk9UKJBPS8GpaF7" TargetMode="External"/><Relationship Id="rId36" Type="http://schemas.openxmlformats.org/officeDocument/2006/relationships/hyperlink" Target="https://drive.google.com/file/d/17gUTJXHMntNfwjec7keqdRe8FpEkVuMS/view?usp=drive_link" TargetMode="External"/><Relationship Id="rId175" Type="http://schemas.openxmlformats.org/officeDocument/2006/relationships/hyperlink" Target="https://drive.google.com/file/d/1Pkj92ZBhS0QOCmW9BY6UwYySjxbO0Nfa/view?usp=drive_link" TargetMode="External"/><Relationship Id="rId296" Type="http://schemas.openxmlformats.org/officeDocument/2006/relationships/hyperlink" Target="https://drive.google.com/file/d/1kiKm6sU2MriLLx9vkn4_ceQ94v8brFgT/view?usp=drive_link" TargetMode="External"/><Relationship Id="rId39" Type="http://schemas.openxmlformats.org/officeDocument/2006/relationships/hyperlink" Target="https://maps.app.goo.gl/Lo2fWjpah3rYBKQ97" TargetMode="External"/><Relationship Id="rId174" Type="http://schemas.openxmlformats.org/officeDocument/2006/relationships/hyperlink" Target="https://drive.google.com/drive/folders/1_Xobyg8bp_xXL0UEvL1AAdSpFnr2MtOs?usp=sharing" TargetMode="External"/><Relationship Id="rId295" Type="http://schemas.openxmlformats.org/officeDocument/2006/relationships/hyperlink" Target="https://drive.google.com/drive/folders/1iI_9p1f8CcB5Pnq5q1RaHyZWPDEX30_2?usp=sharing" TargetMode="External"/><Relationship Id="rId38" Type="http://schemas.openxmlformats.org/officeDocument/2006/relationships/hyperlink" Target="https://drive.google.com/file/d/1krI_70ejpWmsJXahklQh60MSOe_YY_9l/view?usp=drive_link" TargetMode="External"/><Relationship Id="rId173" Type="http://schemas.openxmlformats.org/officeDocument/2006/relationships/hyperlink" Target="https://maps.app.goo.gl/Tm1ik7T3Lsh9bBWB7" TargetMode="External"/><Relationship Id="rId294" Type="http://schemas.openxmlformats.org/officeDocument/2006/relationships/hyperlink" Target="https://maps.app.goo.gl/VCwUp7XeN6iwDGDz8" TargetMode="External"/><Relationship Id="rId179" Type="http://schemas.openxmlformats.org/officeDocument/2006/relationships/hyperlink" Target="https://drive.google.com/file/d/1l-7xmH2OiWiuu5ECokOzgkubtPtGcqF6/view?usp=drive_link" TargetMode="External"/><Relationship Id="rId178" Type="http://schemas.openxmlformats.org/officeDocument/2006/relationships/hyperlink" Target="https://drive.google.com/drive/folders/1SZFdf6W8BBnPRmzUUo5oN44tWycXZZjm?usp=sharing" TargetMode="External"/><Relationship Id="rId299" Type="http://schemas.openxmlformats.org/officeDocument/2006/relationships/hyperlink" Target="https://drive.google.com/file/d/1aH5Vsl3Gt0YgpaEsPhleTcTTRrHRo116/view?usp=drive_link" TargetMode="External"/><Relationship Id="rId177" Type="http://schemas.openxmlformats.org/officeDocument/2006/relationships/hyperlink" Target="https://maps.app.goo.gl/zJZ5KL7ukyojWS6D7" TargetMode="External"/><Relationship Id="rId298" Type="http://schemas.openxmlformats.org/officeDocument/2006/relationships/hyperlink" Target="https://drive.google.com/drive/folders/1YeBDjctyYAWUw6otGcL87p2WESAEkjpu?usp=sharing" TargetMode="External"/><Relationship Id="rId20" Type="http://schemas.openxmlformats.org/officeDocument/2006/relationships/hyperlink" Target="https://drive.google.com/file/d/1siokFFErb2wQxBWImqXbQZpBoEXG77L7/view?usp=drive_link" TargetMode="External"/><Relationship Id="rId22" Type="http://schemas.openxmlformats.org/officeDocument/2006/relationships/hyperlink" Target="https://drive.google.com/drive/folders/1VNboigNHkTGwb_AgyYv-mTC2b0-ci-TL?usp=sharing" TargetMode="External"/><Relationship Id="rId21" Type="http://schemas.openxmlformats.org/officeDocument/2006/relationships/hyperlink" Target="https://maps.app.goo.gl/jJ9qeyioMkQp4eZ19" TargetMode="External"/><Relationship Id="rId24" Type="http://schemas.openxmlformats.org/officeDocument/2006/relationships/hyperlink" Target="https://drive.google.com/file/d/1f4oLrhPAeXQHhR0vi6tO12F-M2_cu25h/view?usp=drive_link" TargetMode="External"/><Relationship Id="rId23" Type="http://schemas.openxmlformats.org/officeDocument/2006/relationships/hyperlink" Target="https://drive.google.com/file/d/1UgorYoBKIvolkRSEOQnzZUIEEfP8V62M/view?usp=drive_link" TargetMode="External"/><Relationship Id="rId26" Type="http://schemas.openxmlformats.org/officeDocument/2006/relationships/hyperlink" Target="https://drive.google.com/drive/folders/1hZlQZt2eME4jUDRc2u4cSVjloFdF16ZY?usp=sharing" TargetMode="External"/><Relationship Id="rId25" Type="http://schemas.openxmlformats.org/officeDocument/2006/relationships/hyperlink" Target="https://maps.app.goo.gl/TqVPgrjzyrt1sTL86" TargetMode="External"/><Relationship Id="rId28" Type="http://schemas.openxmlformats.org/officeDocument/2006/relationships/hyperlink" Target="https://drive.google.com/file/d/1xUpyWw8F2XDbtNwyp4LyiVYqn5j0dWsq/view?usp=drive_link" TargetMode="External"/><Relationship Id="rId27" Type="http://schemas.openxmlformats.org/officeDocument/2006/relationships/hyperlink" Target="https://drive.google.com/file/d/1eGTdCQO_8w8y7fsx5pUGG6MLcpKyH4Ev/view?usp=drive_link" TargetMode="External"/><Relationship Id="rId29" Type="http://schemas.openxmlformats.org/officeDocument/2006/relationships/hyperlink" Target="https://drive.google.com/file/d/1mt-1PKuZ-qQIQZK0l8wKPS834NpCNIvh/view?usp=drive_link" TargetMode="External"/><Relationship Id="rId11" Type="http://schemas.openxmlformats.org/officeDocument/2006/relationships/hyperlink" Target="https://drive.google.com/drive/folders/1DPYLYWyJP8nyJL6ugAdn87EhHSQ1meZC?usp=sharing" TargetMode="External"/><Relationship Id="rId10" Type="http://schemas.openxmlformats.org/officeDocument/2006/relationships/hyperlink" Target="https://maps.app.goo.gl/PFSxaeapUkBacgPy5" TargetMode="External"/><Relationship Id="rId13" Type="http://schemas.openxmlformats.org/officeDocument/2006/relationships/hyperlink" Target="https://maps.app.goo.gl/kxr5L8iQjE8HrKRP8" TargetMode="External"/><Relationship Id="rId12" Type="http://schemas.openxmlformats.org/officeDocument/2006/relationships/hyperlink" Target="https://drive.google.com/file/d/1oJcUN9nWWWFqTRUm83jkA1h1Ud7Eb7Ss/view?usp=drive_link" TargetMode="External"/><Relationship Id="rId15" Type="http://schemas.openxmlformats.org/officeDocument/2006/relationships/hyperlink" Target="https://maps.app.goo.gl/nEzp6pUsmd4JQCFj9" TargetMode="External"/><Relationship Id="rId198" Type="http://schemas.openxmlformats.org/officeDocument/2006/relationships/hyperlink" Target="https://drive.google.com/file/d/1nmZEpmfJC3xR1gfR-tvhzvrOFmDgb1DY/view?usp=drive_link" TargetMode="External"/><Relationship Id="rId14" Type="http://schemas.openxmlformats.org/officeDocument/2006/relationships/hyperlink" Target="https://drive.google.com/drive/folders/1pOGCzAHKeiCj5t_2GptzW-FtWowI6z-J?usp=sharing" TargetMode="External"/><Relationship Id="rId197" Type="http://schemas.openxmlformats.org/officeDocument/2006/relationships/hyperlink" Target="https://drive.google.com/drive/folders/1Qo5GaKkQZzpII9ne-dGRNAH9Yk2p_Vnq?usp=sharing" TargetMode="External"/><Relationship Id="rId17" Type="http://schemas.openxmlformats.org/officeDocument/2006/relationships/hyperlink" Target="https://drive.google.com/file/d/1hdrGE7qiO30o1vnlSfVslyIfViJiCpQw/view?usp=drive_link" TargetMode="External"/><Relationship Id="rId196" Type="http://schemas.openxmlformats.org/officeDocument/2006/relationships/hyperlink" Target="https://maps.app.goo.gl/a2Sw78bXziUpv87A6" TargetMode="External"/><Relationship Id="rId16" Type="http://schemas.openxmlformats.org/officeDocument/2006/relationships/hyperlink" Target="https://drive.google.com/drive/folders/1sGH4sx_VJCNP-rw0UofQqQSYC47vY8V7?usp=sharing" TargetMode="External"/><Relationship Id="rId195" Type="http://schemas.openxmlformats.org/officeDocument/2006/relationships/hyperlink" Target="https://drive.google.com/file/d/1ti1t4PMRQ1bMtEyWo8pgo6ezezBGba5p/view?usp=drive_link" TargetMode="External"/><Relationship Id="rId19" Type="http://schemas.openxmlformats.org/officeDocument/2006/relationships/hyperlink" Target="https://maps.app.goo.gl/6f8LcGVojbMrJd1L6" TargetMode="External"/><Relationship Id="rId18" Type="http://schemas.openxmlformats.org/officeDocument/2006/relationships/hyperlink" Target="https://drive.google.com/file/d/1YvsFC8HfNhLYmKvj5ARbyguXAW55kfKN/view?usp=drive_link" TargetMode="External"/><Relationship Id="rId199" Type="http://schemas.openxmlformats.org/officeDocument/2006/relationships/hyperlink" Target="https://maps.app.goo.gl/4RRoLzjzzdSrySeJ9" TargetMode="External"/><Relationship Id="rId84" Type="http://schemas.openxmlformats.org/officeDocument/2006/relationships/hyperlink" Target="https://drive.google.com/file/d/1f-SGBBt4rLez4paiiB8dssdPDDmaSFpy/view?usp=drive_link" TargetMode="External"/><Relationship Id="rId83" Type="http://schemas.openxmlformats.org/officeDocument/2006/relationships/hyperlink" Target="https://drive.google.com/drive/folders/1X3ora4QX39VBc5af_X8DvhKKPxkzdaGR?usp=sharing" TargetMode="External"/><Relationship Id="rId86" Type="http://schemas.openxmlformats.org/officeDocument/2006/relationships/hyperlink" Target="https://maps.app.goo.gl/mVTY2iUiXcXG6JiR6" TargetMode="External"/><Relationship Id="rId85" Type="http://schemas.openxmlformats.org/officeDocument/2006/relationships/hyperlink" Target="https://drive.google.com/file/d/1xPJzbX6c6V-VW46ulQ2gZmNBFvsoYYjO/view?usp=drive_link" TargetMode="External"/><Relationship Id="rId88" Type="http://schemas.openxmlformats.org/officeDocument/2006/relationships/hyperlink" Target="https://drive.google.com/drive/folders/1MvrfIVVx8aI6hhYkEKjVzBkskhv7B-2T?usp=sharing" TargetMode="External"/><Relationship Id="rId150" Type="http://schemas.openxmlformats.org/officeDocument/2006/relationships/hyperlink" Target="https://maps.app.goo.gl/gb7vL1RHafYDJcnC9" TargetMode="External"/><Relationship Id="rId271" Type="http://schemas.openxmlformats.org/officeDocument/2006/relationships/hyperlink" Target="https://maps.app.goo.gl/ZCgtZ7cQKfSR9oQY9" TargetMode="External"/><Relationship Id="rId87" Type="http://schemas.openxmlformats.org/officeDocument/2006/relationships/hyperlink" Target="https://maps.app.goo.gl/YMWHaCMRQgzUEhte9" TargetMode="External"/><Relationship Id="rId270" Type="http://schemas.openxmlformats.org/officeDocument/2006/relationships/hyperlink" Target="https://drive.google.com/file/d/1zwGeLiFS6zs_wUKKhaKnA4rFqMHFGZHa/view?usp=drive_link" TargetMode="External"/><Relationship Id="rId89" Type="http://schemas.openxmlformats.org/officeDocument/2006/relationships/hyperlink" Target="https://drive.google.com/file/d/1XOxBd5-gEXbfaCSr47JALHmjnwrl7t4d/view?usp=drive_link" TargetMode="External"/><Relationship Id="rId80" Type="http://schemas.openxmlformats.org/officeDocument/2006/relationships/hyperlink" Target="https://drive.google.com/drive/folders/1wzMTf99sloyZFBfp6KUygDzmH-CdWGzT?usp=sharing" TargetMode="External"/><Relationship Id="rId82" Type="http://schemas.openxmlformats.org/officeDocument/2006/relationships/hyperlink" Target="https://maps.app.goo.gl/7raZ44z1AQqv3VwK8" TargetMode="External"/><Relationship Id="rId81" Type="http://schemas.openxmlformats.org/officeDocument/2006/relationships/hyperlink" Target="https://drive.google.com/file/d/1HSEalcTdKadGrlefpyhlpIoyv79OtN0I/view?usp=drive_link" TargetMode="External"/><Relationship Id="rId1" Type="http://schemas.openxmlformats.org/officeDocument/2006/relationships/comments" Target="../comments3.xml"/><Relationship Id="rId2" Type="http://schemas.openxmlformats.org/officeDocument/2006/relationships/hyperlink" Target="https://docs.google.com/spreadsheets/d/1UKAyq6wflCLc4VagEcCQMsGNtwnfWXQxxS-GCQWjRSg/edit?usp=sharing" TargetMode="External"/><Relationship Id="rId3" Type="http://schemas.openxmlformats.org/officeDocument/2006/relationships/hyperlink" Target="https://www.google.com/maps/d/u/0/edit?mid=1Tk75Udt6sDwWe6-qr07RZBur6Fh3SsI&amp;usp=sharing" TargetMode="External"/><Relationship Id="rId149" Type="http://schemas.openxmlformats.org/officeDocument/2006/relationships/hyperlink" Target="https://drive.google.com/file/d/1JcexiWEVEjpSGyOsLem3o7hC-S8SqibF/view?usp=drive_link" TargetMode="External"/><Relationship Id="rId4" Type="http://schemas.openxmlformats.org/officeDocument/2006/relationships/hyperlink" Target="https://docs.google.com/spreadsheets/d/1-QFRe65tvOeazpyuCSYaauhmJnOmplde/edit?pli=1&amp;gid=2059889745" TargetMode="External"/><Relationship Id="rId148" Type="http://schemas.openxmlformats.org/officeDocument/2006/relationships/hyperlink" Target="https://drive.google.com/file/d/1_xboWrS-Sh8FzSJp_zqvH8TUjgeJLH1L/view?usp=drive_link" TargetMode="External"/><Relationship Id="rId269" Type="http://schemas.openxmlformats.org/officeDocument/2006/relationships/hyperlink" Target="https://drive.google.com/drive/folders/1ZQQBTOmoZgaA1pIoaG4roKEza8RsqEOb?usp=sharing" TargetMode="External"/><Relationship Id="rId9" Type="http://schemas.openxmlformats.org/officeDocument/2006/relationships/hyperlink" Target="https://drive.google.com/file/d/1AaZbfcc_USGz9MaA1Egyts7eBJ7oCpsB/view?usp=drive_link" TargetMode="External"/><Relationship Id="rId143" Type="http://schemas.openxmlformats.org/officeDocument/2006/relationships/hyperlink" Target="https://maps.app.goo.gl/88gmDzG6k4Hk8fSx6" TargetMode="External"/><Relationship Id="rId264" Type="http://schemas.openxmlformats.org/officeDocument/2006/relationships/hyperlink" Target="https://maps.app.goo.gl/wn8xWvJR7FFJCkMaA" TargetMode="External"/><Relationship Id="rId142" Type="http://schemas.openxmlformats.org/officeDocument/2006/relationships/hyperlink" Target="https://drive.google.com/file/d/14P9s_O1qhNrVjc_HhreCnHCBbuL7U-db/view?usp=drive_link" TargetMode="External"/><Relationship Id="rId263" Type="http://schemas.openxmlformats.org/officeDocument/2006/relationships/hyperlink" Target="https://drive.google.com/file/d/19Zxi2jec8TiwEe1KyPkk00AXLzZl71tZ/view?usp=drive_link" TargetMode="External"/><Relationship Id="rId141" Type="http://schemas.openxmlformats.org/officeDocument/2006/relationships/hyperlink" Target="https://drive.google.com/drive/folders/13mRi_Y8fU9_zakjFxBSGO-9Jmi7WFUB_?usp=sharing" TargetMode="External"/><Relationship Id="rId262" Type="http://schemas.openxmlformats.org/officeDocument/2006/relationships/hyperlink" Target="https://drive.google.com/drive/folders/1FS8X43W3mYgNwBu9XU1lPQDtoRaWnYvB?usp=sharing" TargetMode="External"/><Relationship Id="rId140" Type="http://schemas.openxmlformats.org/officeDocument/2006/relationships/hyperlink" Target="https://maps.app.goo.gl/cZ3fx3TFZfRp3KR86" TargetMode="External"/><Relationship Id="rId261" Type="http://schemas.openxmlformats.org/officeDocument/2006/relationships/hyperlink" Target="https://maps.app.goo.gl/teAPfUeXBcwEkiSw8" TargetMode="External"/><Relationship Id="rId5" Type="http://schemas.openxmlformats.org/officeDocument/2006/relationships/hyperlink" Target="https://drive.google.com/drive/folders/15uHR8hn5EWu9BXSANW-VwTYobrWACzdF?usp=sharing" TargetMode="External"/><Relationship Id="rId147" Type="http://schemas.openxmlformats.org/officeDocument/2006/relationships/hyperlink" Target="https://drive.google.com/drive/folders/1BUUbG4HG7bVcyZavFubfOern6NpT-c0d?usp=sharing" TargetMode="External"/><Relationship Id="rId268" Type="http://schemas.openxmlformats.org/officeDocument/2006/relationships/hyperlink" Target="https://maps.app.goo.gl/vkTz9bNPykfmgDVm7" TargetMode="External"/><Relationship Id="rId6" Type="http://schemas.openxmlformats.org/officeDocument/2006/relationships/hyperlink" Target="https://drive.google.com/file/d/1jK7BHOlkRkuwkDbyPMVRr4VTelxJF_bc/view?usp=drive_link" TargetMode="External"/><Relationship Id="rId146" Type="http://schemas.openxmlformats.org/officeDocument/2006/relationships/hyperlink" Target="https://maps.app.goo.gl/uvm3seK2LLiWaAYY6" TargetMode="External"/><Relationship Id="rId267" Type="http://schemas.openxmlformats.org/officeDocument/2006/relationships/hyperlink" Target="https://drive.google.com/file/d/1TiM7vnla0lVMEK0LDLDvQyBNoyyHI2lp/view?usp=drive_link" TargetMode="External"/><Relationship Id="rId7" Type="http://schemas.openxmlformats.org/officeDocument/2006/relationships/hyperlink" Target="https://maps.app.goo.gl/D8RdKmD2CNb9xVsZA" TargetMode="External"/><Relationship Id="rId145" Type="http://schemas.openxmlformats.org/officeDocument/2006/relationships/hyperlink" Target="https://drive.google.com/file/d/1yTRxlozeSELVZDTzCXt_7xua_fbHFF32/view?usp=drive_link" TargetMode="External"/><Relationship Id="rId266" Type="http://schemas.openxmlformats.org/officeDocument/2006/relationships/hyperlink" Target="https://drive.google.com/drive/folders/1FGfKeT3t_9ABtYq9J0_GIGXZoKuU1Fp8?usp=sharing" TargetMode="External"/><Relationship Id="rId8" Type="http://schemas.openxmlformats.org/officeDocument/2006/relationships/hyperlink" Target="https://drive.google.com/drive/folders/1XILVIEEdoNVSbu2H4HDWC5GFhAaV7Rtw?usp=sharing" TargetMode="External"/><Relationship Id="rId144" Type="http://schemas.openxmlformats.org/officeDocument/2006/relationships/hyperlink" Target="https://drive.google.com/drive/folders/1j_88FFnJWi5WZnYoar4AKscgbbK9QIk5?usp=sharing" TargetMode="External"/><Relationship Id="rId265" Type="http://schemas.openxmlformats.org/officeDocument/2006/relationships/hyperlink" Target="https://maps.app.goo.gl/X3Uu5nYA7dbD9BAo8" TargetMode="External"/><Relationship Id="rId73" Type="http://schemas.openxmlformats.org/officeDocument/2006/relationships/hyperlink" Target="https://maps.app.goo.gl/e6TV1YBFqrQRFbKc6" TargetMode="External"/><Relationship Id="rId72" Type="http://schemas.openxmlformats.org/officeDocument/2006/relationships/hyperlink" Target="https://drive.google.com/drive/folders/16Em8lwwudu_dl6MIBnjc4WPejtWbMW4y?usp=sharing" TargetMode="External"/><Relationship Id="rId75" Type="http://schemas.openxmlformats.org/officeDocument/2006/relationships/hyperlink" Target="https://drive.google.com/file/d/17PlropInauoKAgnzZOaOR650VXyrVf0O/view?usp=drive_link" TargetMode="External"/><Relationship Id="rId74" Type="http://schemas.openxmlformats.org/officeDocument/2006/relationships/hyperlink" Target="https://drive.google.com/drive/folders/1UNmNBkZdyI7-T75S7uK3fG6OjXE3f0tQ?usp=sharing" TargetMode="External"/><Relationship Id="rId77" Type="http://schemas.openxmlformats.org/officeDocument/2006/relationships/hyperlink" Target="https://drive.google.com/drive/folders/1Fp5nxbBvNikEteyk_By3X8B0iesq-NYd?usp=sharing" TargetMode="External"/><Relationship Id="rId260" Type="http://schemas.openxmlformats.org/officeDocument/2006/relationships/hyperlink" Target="https://drive.google.com/file/d/13UE8IAwPbimrbweYg2r0I3wqgZZCMFz4/view?usp=drive_link" TargetMode="External"/><Relationship Id="rId76" Type="http://schemas.openxmlformats.org/officeDocument/2006/relationships/hyperlink" Target="https://maps.app.goo.gl/yTxh4HyTptfJGJy69" TargetMode="External"/><Relationship Id="rId79" Type="http://schemas.openxmlformats.org/officeDocument/2006/relationships/hyperlink" Target="https://maps.app.goo.gl/JytzmJEBXGpcni3DA" TargetMode="External"/><Relationship Id="rId78" Type="http://schemas.openxmlformats.org/officeDocument/2006/relationships/hyperlink" Target="https://drive.google.com/file/d/1K89NvMz_eYXZwjEmPHy9lKXBLK899jes/view?usp=drive_link" TargetMode="External"/><Relationship Id="rId71" Type="http://schemas.openxmlformats.org/officeDocument/2006/relationships/hyperlink" Target="https://maps.app.goo.gl/73nC8YTzUehszQ5j7" TargetMode="External"/><Relationship Id="rId70" Type="http://schemas.openxmlformats.org/officeDocument/2006/relationships/hyperlink" Target="https://drive.google.com/file/d/1AFpiCaWQn4-qHyF19JFbAbexO0CKMihk/view?usp=drive_link" TargetMode="External"/><Relationship Id="rId139" Type="http://schemas.openxmlformats.org/officeDocument/2006/relationships/hyperlink" Target="https://drive.google.com/file/d/1ntynGw05FDSsP5gZDQy0ohDTxId_Lds-/view?usp=drive_link" TargetMode="External"/><Relationship Id="rId138" Type="http://schemas.openxmlformats.org/officeDocument/2006/relationships/hyperlink" Target="https://drive.google.com/drive/folders/1krBDsy_f0NjJnItodfJwKeL_V6yhB6J9?usp=sharing" TargetMode="External"/><Relationship Id="rId259" Type="http://schemas.openxmlformats.org/officeDocument/2006/relationships/hyperlink" Target="https://drive.google.com/drive/folders/1C1ljgVwwyfYwrS-aLZ1gfZwLv74o4ZFp?usp=sharing" TargetMode="External"/><Relationship Id="rId137" Type="http://schemas.openxmlformats.org/officeDocument/2006/relationships/hyperlink" Target="https://maps.app.goo.gl/n5LKHd9zu4ir4rZ96" TargetMode="External"/><Relationship Id="rId258" Type="http://schemas.openxmlformats.org/officeDocument/2006/relationships/hyperlink" Target="https://maps.app.goo.gl/pR8Z7yiB5GcF3Dqd6" TargetMode="External"/><Relationship Id="rId132" Type="http://schemas.openxmlformats.org/officeDocument/2006/relationships/hyperlink" Target="https://drive.google.com/drive/folders/1rfz2p_YUMzUjvODpIcrJOcikCUDkxyKN?usp=sharing" TargetMode="External"/><Relationship Id="rId253" Type="http://schemas.openxmlformats.org/officeDocument/2006/relationships/hyperlink" Target="https://maps.app.goo.gl/gJCUuodYjtYipMdh6" TargetMode="External"/><Relationship Id="rId131" Type="http://schemas.openxmlformats.org/officeDocument/2006/relationships/hyperlink" Target="https://maps.app.goo.gl/EvXCZRQTMymwamoN6" TargetMode="External"/><Relationship Id="rId252" Type="http://schemas.openxmlformats.org/officeDocument/2006/relationships/hyperlink" Target="https://drive.google.com/file/d/1dOKWYMI39JyHQPW4GbxPDx7hPXEwvJqp/view?usp=drive_link" TargetMode="External"/><Relationship Id="rId130" Type="http://schemas.openxmlformats.org/officeDocument/2006/relationships/hyperlink" Target="https://drive.google.com/file/d/1-YVPS852bs9f7jk99kRLTUckH3J_-ylo/view?usp=drive_link" TargetMode="External"/><Relationship Id="rId251" Type="http://schemas.openxmlformats.org/officeDocument/2006/relationships/hyperlink" Target="https://drive.google.com/drive/folders/1J6fKHFHtl0aWfDjoYlr4LQXxuD40BK7J?usp=sharing" TargetMode="External"/><Relationship Id="rId250" Type="http://schemas.openxmlformats.org/officeDocument/2006/relationships/hyperlink" Target="https://maps.app.goo.gl/TWbUrHjVRuqaxHMd6" TargetMode="External"/><Relationship Id="rId136" Type="http://schemas.openxmlformats.org/officeDocument/2006/relationships/hyperlink" Target="https://drive.google.com/drive/folders/1b3qnG6G7-UgDJQ75czzcnv809xN-npD6?usp=sharing" TargetMode="External"/><Relationship Id="rId257" Type="http://schemas.openxmlformats.org/officeDocument/2006/relationships/hyperlink" Target="https://drive.google.com/file/d/1sxBSTThr3kyVbRwkL_7rhYTzzYe75ilh/view?usp=drive_link" TargetMode="External"/><Relationship Id="rId135" Type="http://schemas.openxmlformats.org/officeDocument/2006/relationships/hyperlink" Target="https://maps.app.goo.gl/xXfmv4cNApDJWhXV6" TargetMode="External"/><Relationship Id="rId256" Type="http://schemas.openxmlformats.org/officeDocument/2006/relationships/hyperlink" Target="https://drive.google.com/drive/folders/1gZDOoRoRP3JWyJP9lg-G6hWXwb52NqME?usp=sharing" TargetMode="External"/><Relationship Id="rId134" Type="http://schemas.openxmlformats.org/officeDocument/2006/relationships/hyperlink" Target="https://drive.google.com/file/d/1JRqvT6tdGiYXAgMx-Ep9q8-klOxNYkn8/view?usp=drive_link" TargetMode="External"/><Relationship Id="rId255" Type="http://schemas.openxmlformats.org/officeDocument/2006/relationships/hyperlink" Target="https://maps.app.goo.gl/Xkuu836CTpjCR4PS6" TargetMode="External"/><Relationship Id="rId133" Type="http://schemas.openxmlformats.org/officeDocument/2006/relationships/hyperlink" Target="https://drive.google.com/file/d/1uhKkdFnCCq7hoPQMuLEx9hagxteZz7h2/view?usp=drive_link" TargetMode="External"/><Relationship Id="rId254" Type="http://schemas.openxmlformats.org/officeDocument/2006/relationships/hyperlink" Target="https://drive.google.com/drive/folders/16MGNjQThJLO0880K512CSiia0whzB5fL?usp=sharing" TargetMode="External"/><Relationship Id="rId62" Type="http://schemas.openxmlformats.org/officeDocument/2006/relationships/hyperlink" Target="https://maps.app.goo.gl/AjKhx7FNuWiLS7s39" TargetMode="External"/><Relationship Id="rId61" Type="http://schemas.openxmlformats.org/officeDocument/2006/relationships/hyperlink" Target="https://drive.google.com/file/d/1onzWoLaJ0t1V88x1jGIHzIaiXa3pTick/view?usp=drive_link" TargetMode="External"/><Relationship Id="rId64" Type="http://schemas.openxmlformats.org/officeDocument/2006/relationships/hyperlink" Target="https://drive.google.com/drive/folders/1LETkNNB37NGQwk63t1uovcIIdZAUwryr?usp=sharing" TargetMode="External"/><Relationship Id="rId63" Type="http://schemas.openxmlformats.org/officeDocument/2006/relationships/hyperlink" Target="https://maps.app.goo.gl/ojxcZpLNH6hkVjDb8" TargetMode="External"/><Relationship Id="rId66" Type="http://schemas.openxmlformats.org/officeDocument/2006/relationships/hyperlink" Target="https://maps.app.goo.gl/tPzTKtpQq1sZEHUC8" TargetMode="External"/><Relationship Id="rId172" Type="http://schemas.openxmlformats.org/officeDocument/2006/relationships/hyperlink" Target="https://drive.google.com/file/d/16nCl46ajfbXpNXQjKsEn_g8AKzDWRaOs/view?usp=drive_link" TargetMode="External"/><Relationship Id="rId293" Type="http://schemas.openxmlformats.org/officeDocument/2006/relationships/hyperlink" Target="https://drive.google.com/file/d/1UxCRU_PVLqlvaPOqstjYSEHTVLwd1Jqa/view?usp=drive_link" TargetMode="External"/><Relationship Id="rId65" Type="http://schemas.openxmlformats.org/officeDocument/2006/relationships/hyperlink" Target="https://drive.google.com/file/d/1cKhYqljuPgW5xy3uCmujXcU3yu1RDBxm/view?usp=drive_link" TargetMode="External"/><Relationship Id="rId171" Type="http://schemas.openxmlformats.org/officeDocument/2006/relationships/hyperlink" Target="https://drive.google.com/file/d/1bLz7KeU5ZnVdDGyfE6ttCOINJks95CAy/view?usp=drive_link" TargetMode="External"/><Relationship Id="rId292" Type="http://schemas.openxmlformats.org/officeDocument/2006/relationships/hyperlink" Target="https://drive.google.com/drive/folders/1RezoBvyufQLguR1Qe0H3kN_KVwLQeXsw?usp=sharing" TargetMode="External"/><Relationship Id="rId68" Type="http://schemas.openxmlformats.org/officeDocument/2006/relationships/hyperlink" Target="https://maps.app.goo.gl/xdp6Qm8grSzm5xgy6" TargetMode="External"/><Relationship Id="rId170" Type="http://schemas.openxmlformats.org/officeDocument/2006/relationships/hyperlink" Target="https://drive.google.com/drive/folders/1bOAcKQUMgMaf2ZFi-SIRgTt5dHGur7OS?usp=sharing" TargetMode="External"/><Relationship Id="rId291" Type="http://schemas.openxmlformats.org/officeDocument/2006/relationships/hyperlink" Target="https://maps.app.goo.gl/6TcHeEAs7wHxB1Ko7" TargetMode="External"/><Relationship Id="rId67" Type="http://schemas.openxmlformats.org/officeDocument/2006/relationships/hyperlink" Target="https://drive.google.com/drive/folders/1pYMn8VA_sFHzuxttLEOI5mLdu_iSk5N8?usp=sharing" TargetMode="External"/><Relationship Id="rId290" Type="http://schemas.openxmlformats.org/officeDocument/2006/relationships/hyperlink" Target="https://drive.google.com/drive/folders/1-V3D8NJlilh5q4FwsOV9lyjpOVKNQ89Z?usp=sharing" TargetMode="External"/><Relationship Id="rId60" Type="http://schemas.openxmlformats.org/officeDocument/2006/relationships/hyperlink" Target="https://drive.google.com/drive/folders/1OI7UatDiG-BY6SpIBnp2SUMOXBgNSGg2?usp=sharing" TargetMode="External"/><Relationship Id="rId165" Type="http://schemas.openxmlformats.org/officeDocument/2006/relationships/hyperlink" Target="https://drive.google.com/drive/folders/1IMHuN_JUQD511GnzUs2tyymSDkP6JxVU?usp=sharing" TargetMode="External"/><Relationship Id="rId286" Type="http://schemas.openxmlformats.org/officeDocument/2006/relationships/hyperlink" Target="https://drive.google.com/drive/folders/199J9U8eQ--PkSEpyPQvHdn9OsPdvkD2N?usp=sharing" TargetMode="External"/><Relationship Id="rId69" Type="http://schemas.openxmlformats.org/officeDocument/2006/relationships/hyperlink" Target="https://drive.google.com/drive/folders/1xRLbcBOHlyJPUJPrKIaONCUqgblYeGJF?usp=sharing" TargetMode="External"/><Relationship Id="rId164" Type="http://schemas.openxmlformats.org/officeDocument/2006/relationships/hyperlink" Target="https://maps.app.goo.gl/KCakesC7hvFpeEHg8" TargetMode="External"/><Relationship Id="rId285" Type="http://schemas.openxmlformats.org/officeDocument/2006/relationships/hyperlink" Target="https://maps.app.goo.gl/8T5wJXQtH1DJ1cK49" TargetMode="External"/><Relationship Id="rId163" Type="http://schemas.openxmlformats.org/officeDocument/2006/relationships/hyperlink" Target="https://drive.google.com/file/d/18RjWSBfgdn1RLaPWg4HHYMgPgMK6x05m/view?usp=drive_link" TargetMode="External"/><Relationship Id="rId284" Type="http://schemas.openxmlformats.org/officeDocument/2006/relationships/hyperlink" Target="https://drive.google.com/file/d/1NjMqcVUAjubxEbvk5omsmeDzybDDszD4/view?usp=drive_link" TargetMode="External"/><Relationship Id="rId162" Type="http://schemas.openxmlformats.org/officeDocument/2006/relationships/hyperlink" Target="https://drive.google.com/file/d/1wJkSTvVtGGHHkvQd-7U-nEmfF-QPv75A/view?usp=drive_link" TargetMode="External"/><Relationship Id="rId283" Type="http://schemas.openxmlformats.org/officeDocument/2006/relationships/hyperlink" Target="https://drive.google.com/drive/folders/1zUelHXY9RoBiN-fgLZz4G-ipaF6wJCo8?usp=sharing" TargetMode="External"/><Relationship Id="rId169" Type="http://schemas.openxmlformats.org/officeDocument/2006/relationships/hyperlink" Target="https://maps.app.goo.gl/AgW3uU9WFcccFg9HA" TargetMode="External"/><Relationship Id="rId168" Type="http://schemas.openxmlformats.org/officeDocument/2006/relationships/hyperlink" Target="https://drive.google.com/file/d/1ST2xHH9-NuSnfnJjOwx9fkBCozLDP_PF/view?usp=drive_link" TargetMode="External"/><Relationship Id="rId289" Type="http://schemas.openxmlformats.org/officeDocument/2006/relationships/hyperlink" Target="https://maps.app.goo.gl/r1nDnaJS87iX7nB16" TargetMode="External"/><Relationship Id="rId167" Type="http://schemas.openxmlformats.org/officeDocument/2006/relationships/hyperlink" Target="https://drive.google.com/file/d/1lBr10K4avvU4Oy2dLwPAPJqrRJ76io7s/view?usp=drive_link" TargetMode="External"/><Relationship Id="rId288" Type="http://schemas.openxmlformats.org/officeDocument/2006/relationships/hyperlink" Target="https://drive.google.com/file/d/1T4uTzQxizDzFZbdAtw5BVYyu_tF9mucl/view?usp=drive_link" TargetMode="External"/><Relationship Id="rId166" Type="http://schemas.openxmlformats.org/officeDocument/2006/relationships/hyperlink" Target="https://drive.google.com/file/d/1sPX8dLAnYj_j_UsmQuHq0SnhBkH5k7vS/view?usp=drive_link" TargetMode="External"/><Relationship Id="rId287" Type="http://schemas.openxmlformats.org/officeDocument/2006/relationships/hyperlink" Target="https://drive.google.com/file/d/1847enikeYZU0kmVLshsZ4_JKu6Hn3wpL/view?usp=drive_link" TargetMode="External"/><Relationship Id="rId51" Type="http://schemas.openxmlformats.org/officeDocument/2006/relationships/hyperlink" Target="https://maps.app.goo.gl/XfGR1hzzWS24Q93H7" TargetMode="External"/><Relationship Id="rId50" Type="http://schemas.openxmlformats.org/officeDocument/2006/relationships/hyperlink" Target="https://drive.google.com/file/d/1uapsGF0EpkKB44e-2omnZRu-HdaKYlAc/view?usp=drive_link" TargetMode="External"/><Relationship Id="rId53" Type="http://schemas.openxmlformats.org/officeDocument/2006/relationships/hyperlink" Target="https://drive.google.com/file/d/1O77fKPzf2Wu-eHMxeOJpug-ccyBq8VC0/view?usp=drive_link" TargetMode="External"/><Relationship Id="rId52" Type="http://schemas.openxmlformats.org/officeDocument/2006/relationships/hyperlink" Target="https://drive.google.com/drive/folders/1qwcT46FEj_tFbpewK7iUUhWpi3jlVBDe?usp=sharing" TargetMode="External"/><Relationship Id="rId55" Type="http://schemas.openxmlformats.org/officeDocument/2006/relationships/hyperlink" Target="https://maps.app.goo.gl/rPoN8huCH6EndAHa6" TargetMode="External"/><Relationship Id="rId161" Type="http://schemas.openxmlformats.org/officeDocument/2006/relationships/hyperlink" Target="https://drive.google.com/file/d/1IeI9lcE7zi5DE99c1KuRoBMtwSgXCdFU/view?usp=drive_link" TargetMode="External"/><Relationship Id="rId282" Type="http://schemas.openxmlformats.org/officeDocument/2006/relationships/hyperlink" Target="https://maps.app.goo.gl/mUbk2hTwkrMBFYxj9" TargetMode="External"/><Relationship Id="rId54" Type="http://schemas.openxmlformats.org/officeDocument/2006/relationships/hyperlink" Target="https://drive.google.com/file/d/1rt5P0RG4nYvYTjS94MstBtcJ_23rvrqu/view?usp=drive_link" TargetMode="External"/><Relationship Id="rId160" Type="http://schemas.openxmlformats.org/officeDocument/2006/relationships/hyperlink" Target="https://maps.app.goo.gl/ZxiXkBxoniAVs7we7" TargetMode="External"/><Relationship Id="rId281" Type="http://schemas.openxmlformats.org/officeDocument/2006/relationships/hyperlink" Target="https://drive.google.com/file/d/1V6lsrPL1GF3TA2hbJx0QLFIYpX1i5COy/view?usp=drive_link" TargetMode="External"/><Relationship Id="rId57" Type="http://schemas.openxmlformats.org/officeDocument/2006/relationships/hyperlink" Target="https://drive.google.com/drive/folders/18J-mps8vbKcPoo0O3XEmzMR2UP1mfy2w?usp=sharing" TargetMode="External"/><Relationship Id="rId280" Type="http://schemas.openxmlformats.org/officeDocument/2006/relationships/hyperlink" Target="https://drive.google.com/file/d/1-UX2PnAeBSbsbobaTBIv7Yjy3qSU5H1C/view?usp=drive_link" TargetMode="External"/><Relationship Id="rId56" Type="http://schemas.openxmlformats.org/officeDocument/2006/relationships/hyperlink" Target="https://maps.app.goo.gl/Lo2fWjpah3rYBKQ97" TargetMode="External"/><Relationship Id="rId159" Type="http://schemas.openxmlformats.org/officeDocument/2006/relationships/hyperlink" Target="https://drive.google.com/file/d/1JcNLR2SPMR9SZyVb6WoNSvwOziZ1AKvN/view?usp=drive_link" TargetMode="External"/><Relationship Id="rId59" Type="http://schemas.openxmlformats.org/officeDocument/2006/relationships/hyperlink" Target="https://maps.app.goo.gl/A2vWXwUhzTkK22qVA" TargetMode="External"/><Relationship Id="rId154" Type="http://schemas.openxmlformats.org/officeDocument/2006/relationships/hyperlink" Target="https://drive.google.com/file/d/1_2EyfmwPOFnOwfic8WgiHrspynXjU9ss/view?usp=drive_link" TargetMode="External"/><Relationship Id="rId275" Type="http://schemas.openxmlformats.org/officeDocument/2006/relationships/hyperlink" Target="https://maps.app.goo.gl/ySSkdnoRm9XeYTvy5" TargetMode="External"/><Relationship Id="rId58" Type="http://schemas.openxmlformats.org/officeDocument/2006/relationships/hyperlink" Target="https://drive.google.com/file/d/1M0F1MKZ_OWu9Ty7aYA9kvATImh4SkPix/view?usp=drive_link" TargetMode="External"/><Relationship Id="rId153" Type="http://schemas.openxmlformats.org/officeDocument/2006/relationships/hyperlink" Target="https://drive.google.com/file/d/1p-Wzz1cEn3XEQRHD64s60Gy2vZZsOnMr/view?usp=drive_link" TargetMode="External"/><Relationship Id="rId274" Type="http://schemas.openxmlformats.org/officeDocument/2006/relationships/hyperlink" Target="https://drive.google.com/file/d/1Nj7FWrLjN1szRSy2DFb-7URQb5BkviwC/view?usp=drive_link" TargetMode="External"/><Relationship Id="rId152" Type="http://schemas.openxmlformats.org/officeDocument/2006/relationships/hyperlink" Target="https://drive.google.com/file/d/1xIt6HWuyorcAMXBvdsLecO0tqTVor2CL/view?usp=drive_link" TargetMode="External"/><Relationship Id="rId273" Type="http://schemas.openxmlformats.org/officeDocument/2006/relationships/hyperlink" Target="https://drive.google.com/file/d/15at4rUtjGm1C2hL1WnrYtgptViUJrSz_/view?usp=drive_link" TargetMode="External"/><Relationship Id="rId151" Type="http://schemas.openxmlformats.org/officeDocument/2006/relationships/hyperlink" Target="https://drive.google.com/drive/folders/1Exjl5NqX4ayA_fPcn1xjQ2Ul6DZ6agvg?usp=sharing" TargetMode="External"/><Relationship Id="rId272" Type="http://schemas.openxmlformats.org/officeDocument/2006/relationships/hyperlink" Target="https://drive.google.com/drive/folders/1BMyRFkurH2WLXbardeId7xDlGX_kDzdI?usp=sharing" TargetMode="External"/><Relationship Id="rId158" Type="http://schemas.openxmlformats.org/officeDocument/2006/relationships/hyperlink" Target="https://drive.google.com/file/d/1SyhWAnG-cN5WqSsZUzflE4m38-dmzl9s/view?usp=drive_link" TargetMode="External"/><Relationship Id="rId279" Type="http://schemas.openxmlformats.org/officeDocument/2006/relationships/hyperlink" Target="https://drive.google.com/drive/folders/1Q2IaU174npTTCiNbuVi8TSnJlqOulxWg?usp=sharing" TargetMode="External"/><Relationship Id="rId157" Type="http://schemas.openxmlformats.org/officeDocument/2006/relationships/hyperlink" Target="https://drive.google.com/file/d/1NrGZtNAe3y1SolEmwrKogE3iGH98fWxu/view?usp=drive_link" TargetMode="External"/><Relationship Id="rId278" Type="http://schemas.openxmlformats.org/officeDocument/2006/relationships/hyperlink" Target="https://maps.app.goo.gl/JYkxqzVsJEm58hbU8" TargetMode="External"/><Relationship Id="rId156" Type="http://schemas.openxmlformats.org/officeDocument/2006/relationships/hyperlink" Target="https://drive.google.com/drive/folders/1LQnviRUdURbmul0VIjLcrYnLkMPnLJdo?usp=sharing" TargetMode="External"/><Relationship Id="rId277" Type="http://schemas.openxmlformats.org/officeDocument/2006/relationships/hyperlink" Target="https://drive.google.com/file/d/1syIV001TrLJM2PTzZqRRPGTVe88_sSDN/view?usp=drive_link" TargetMode="External"/><Relationship Id="rId155" Type="http://schemas.openxmlformats.org/officeDocument/2006/relationships/hyperlink" Target="https://maps.app.goo.gl/YVLNHU1cqsWmzMnC9" TargetMode="External"/><Relationship Id="rId276" Type="http://schemas.openxmlformats.org/officeDocument/2006/relationships/hyperlink" Target="https://drive.google.com/drive/folders/1ge4CgKLMMtXYe0XKug7EdeJenG4lSPIa?usp=sharing" TargetMode="External"/><Relationship Id="rId107" Type="http://schemas.openxmlformats.org/officeDocument/2006/relationships/hyperlink" Target="https://drive.google.com/file/d/166J0kRA3_G976ZINgy-UArAroKGjUIXT/view?usp=drive_link" TargetMode="External"/><Relationship Id="rId228" Type="http://schemas.openxmlformats.org/officeDocument/2006/relationships/hyperlink" Target="https://drive.google.com/drive/folders/1TuDe0F4D9ZX9zy6T7KrUpRfCt6GHVOhf?usp=sharing" TargetMode="External"/><Relationship Id="rId106" Type="http://schemas.openxmlformats.org/officeDocument/2006/relationships/hyperlink" Target="https://drive.google.com/drive/folders/1mGTdjh_jydQQK_ZBTnD2pFsYIHgLzseT?usp=sharing" TargetMode="External"/><Relationship Id="rId227" Type="http://schemas.openxmlformats.org/officeDocument/2006/relationships/hyperlink" Target="https://maps.app.goo.gl/DBjqzBkV9eFFV6yE7" TargetMode="External"/><Relationship Id="rId105" Type="http://schemas.openxmlformats.org/officeDocument/2006/relationships/hyperlink" Target="https://maps.app.goo.gl/UJmd5HadaCds3U6N8" TargetMode="External"/><Relationship Id="rId226" Type="http://schemas.openxmlformats.org/officeDocument/2006/relationships/hyperlink" Target="https://drive.google.com/file/d/1L621gZS1HRhQFhG1iCgWOk5R-TXntTGn/view?usp=drive_link" TargetMode="External"/><Relationship Id="rId104" Type="http://schemas.openxmlformats.org/officeDocument/2006/relationships/hyperlink" Target="https://drive.google.com/file/d/1rOKn4i4ImJiwsF42AHHtKq86vKMucxKd/view?usp=drive_link" TargetMode="External"/><Relationship Id="rId225" Type="http://schemas.openxmlformats.org/officeDocument/2006/relationships/hyperlink" Target="https://drive.google.com/drive/folders/1jmcbiLEJT3CCh33GpS4STvKx4ya2pLRH?usp=sharing" TargetMode="External"/><Relationship Id="rId109" Type="http://schemas.openxmlformats.org/officeDocument/2006/relationships/hyperlink" Target="https://drive.google.com/drive/folders/1k-4DbDVBzaaIwFc1T3FdnhdwhL_aFZ_k?usp=sharing" TargetMode="External"/><Relationship Id="rId108" Type="http://schemas.openxmlformats.org/officeDocument/2006/relationships/hyperlink" Target="https://maps.app.goo.gl/JhkPie1AmfWmeG9B6" TargetMode="External"/><Relationship Id="rId229" Type="http://schemas.openxmlformats.org/officeDocument/2006/relationships/hyperlink" Target="https://drive.google.com/file/d/1m1pOGXE77qyrn_U5Dw2W6DIsSIOJTRF9/view?usp=drive_link" TargetMode="External"/><Relationship Id="rId220" Type="http://schemas.openxmlformats.org/officeDocument/2006/relationships/hyperlink" Target="https://maps.app.goo.gl/QDQ5mV6AwwuSR9Do7" TargetMode="External"/><Relationship Id="rId103" Type="http://schemas.openxmlformats.org/officeDocument/2006/relationships/hyperlink" Target="https://drive.google.com/drive/folders/1YRlv_XqvZl9ukw9BQ6eD9-God19LWZmA?usp=sharing" TargetMode="External"/><Relationship Id="rId224" Type="http://schemas.openxmlformats.org/officeDocument/2006/relationships/hyperlink" Target="https://maps.app.goo.gl/mv57EKS785XCHUb6A" TargetMode="External"/><Relationship Id="rId102" Type="http://schemas.openxmlformats.org/officeDocument/2006/relationships/hyperlink" Target="https://maps.app.goo.gl/1FvDg162dKVQnbWm9" TargetMode="External"/><Relationship Id="rId223" Type="http://schemas.openxmlformats.org/officeDocument/2006/relationships/hyperlink" Target="https://drive.google.com/file/d/1NBPpFSa8Thm3AUaZfHzSxi_oF1VBsgx1/view?usp=drive_link" TargetMode="External"/><Relationship Id="rId101" Type="http://schemas.openxmlformats.org/officeDocument/2006/relationships/hyperlink" Target="https://drive.google.com/file/d/1cuqrcFyDGlJuJfYp5hj0xyELRJzROAq_/view?usp=drive_link" TargetMode="External"/><Relationship Id="rId222" Type="http://schemas.openxmlformats.org/officeDocument/2006/relationships/hyperlink" Target="https://drive.google.com/file/d/1V_OrXCvVIdyaPiJpHND6-dKko9MN9uj5/view?usp=drive_link" TargetMode="External"/><Relationship Id="rId100" Type="http://schemas.openxmlformats.org/officeDocument/2006/relationships/hyperlink" Target="https://drive.google.com/drive/folders/1Y6ZgDyn4tDLMv3Hl08ENJqLm_YhJQ28x?usp=sharing" TargetMode="External"/><Relationship Id="rId221" Type="http://schemas.openxmlformats.org/officeDocument/2006/relationships/hyperlink" Target="https://drive.google.com/drive/folders/1bfekVIpGHBIwxF2VY6i9p_-yfvnAfPfe?usp=sharing" TargetMode="External"/><Relationship Id="rId217" Type="http://schemas.openxmlformats.org/officeDocument/2006/relationships/hyperlink" Target="https://drive.google.com/file/d/1K99ecLZIoaKPHOOxqVLrUs9W_eFGqNOw/view?usp=drive_link" TargetMode="External"/><Relationship Id="rId216" Type="http://schemas.openxmlformats.org/officeDocument/2006/relationships/hyperlink" Target="https://drive.google.com/drive/folders/1qD_UrmQQQz4n75tPwSZ_Lw-L_m6zt3JM?usp=sharing" TargetMode="External"/><Relationship Id="rId215" Type="http://schemas.openxmlformats.org/officeDocument/2006/relationships/hyperlink" Target="https://maps.app.goo.gl/deWLjTPpD14CxvXk7" TargetMode="External"/><Relationship Id="rId214" Type="http://schemas.openxmlformats.org/officeDocument/2006/relationships/hyperlink" Target="https://drive.google.com/file/d/18ecEfwCKit1mKHSeJzyrs-3JqrtNVIpT/view?usp=drive_link" TargetMode="External"/><Relationship Id="rId219" Type="http://schemas.openxmlformats.org/officeDocument/2006/relationships/hyperlink" Target="https://drive.google.com/drive/folders/1eCHFdiNmucCEJ7DMgf17rrIfkOA-zrDt?usp=sharing" TargetMode="External"/><Relationship Id="rId218" Type="http://schemas.openxmlformats.org/officeDocument/2006/relationships/hyperlink" Target="https://maps.app.goo.gl/To6pTyVPDwWD7Ds89" TargetMode="External"/><Relationship Id="rId213" Type="http://schemas.openxmlformats.org/officeDocument/2006/relationships/hyperlink" Target="https://drive.google.com/file/d/16FPKdnKmUxh6IC2A7pD2ezgGWFY9p6As/view?usp=drive_link" TargetMode="External"/><Relationship Id="rId212" Type="http://schemas.openxmlformats.org/officeDocument/2006/relationships/hyperlink" Target="https://drive.google.com/drive/folders/1AC2cItsBEHkFzy4F5h21229edlmsmUZn?usp=sharing" TargetMode="External"/><Relationship Id="rId211" Type="http://schemas.openxmlformats.org/officeDocument/2006/relationships/hyperlink" Target="https://maps.app.goo.gl/XrfbArQPWtzrPvpW6" TargetMode="External"/><Relationship Id="rId210" Type="http://schemas.openxmlformats.org/officeDocument/2006/relationships/hyperlink" Target="https://drive.google.com/file/d/1DxKXFwmJS-KYcqkMZmSiEu9dxXP0EMnF/view?usp=drive_link" TargetMode="External"/><Relationship Id="rId129" Type="http://schemas.openxmlformats.org/officeDocument/2006/relationships/hyperlink" Target="https://drive.google.com/drive/folders/1qUtBOoW3k35lWdOgQ7IPbnq0rJSy6Cd4?usp=sharing" TargetMode="External"/><Relationship Id="rId128" Type="http://schemas.openxmlformats.org/officeDocument/2006/relationships/hyperlink" Target="https://maps.app.goo.gl/PDaB2pydKs5cjRJ57" TargetMode="External"/><Relationship Id="rId249" Type="http://schemas.openxmlformats.org/officeDocument/2006/relationships/hyperlink" Target="https://drive.google.com/file/d/16YqlMru6PF-wCKigjjpTc0oI40Gqa6vw/view?usp=drive_link" TargetMode="External"/><Relationship Id="rId127" Type="http://schemas.openxmlformats.org/officeDocument/2006/relationships/hyperlink" Target="https://drive.google.com/file/d/1o1zd-Hc6lC5ij_GKVPzPo1Vd3pwgBsiu/view?usp=drive_link" TargetMode="External"/><Relationship Id="rId248" Type="http://schemas.openxmlformats.org/officeDocument/2006/relationships/hyperlink" Target="https://drive.google.com/drive/folders/1f2PrMRrnw4yqPAKwIFnSCWV4D8iDJehz?usp=sharing" TargetMode="External"/><Relationship Id="rId126" Type="http://schemas.openxmlformats.org/officeDocument/2006/relationships/hyperlink" Target="https://drive.google.com/drive/folders/1M8bhnNI_nzC8gnnob_tXJah84HW_QTnX?usp=sharing" TargetMode="External"/><Relationship Id="rId247" Type="http://schemas.openxmlformats.org/officeDocument/2006/relationships/hyperlink" Target="https://maps.app.goo.gl/bqVLBSZFs2DXMYLC6" TargetMode="External"/><Relationship Id="rId121" Type="http://schemas.openxmlformats.org/officeDocument/2006/relationships/hyperlink" Target="https://drive.google.com/file/d/1PhQUYZK9IepTlTZum51cEmB2WtbAaG80/view?usp=drive_link" TargetMode="External"/><Relationship Id="rId242" Type="http://schemas.openxmlformats.org/officeDocument/2006/relationships/hyperlink" Target="https://drive.google.com/file/d/1U62GG9CnMcHQX84mxk7P1qTZkQmgiWM5/view?usp=drive_link" TargetMode="External"/><Relationship Id="rId120" Type="http://schemas.openxmlformats.org/officeDocument/2006/relationships/hyperlink" Target="https://drive.google.com/drive/folders/144jFtbRj8JM1R3FluLD2r7PNPgwchlxS?usp=sharing" TargetMode="External"/><Relationship Id="rId241" Type="http://schemas.openxmlformats.org/officeDocument/2006/relationships/hyperlink" Target="https://drive.google.com/file/d/1YUkkDbHkdhS64WqC-N_4cYJKXOZShN5R/view?usp=drive_link" TargetMode="External"/><Relationship Id="rId240" Type="http://schemas.openxmlformats.org/officeDocument/2006/relationships/hyperlink" Target="https://drive.google.com/drive/folders/1CpSaX2CiVcEfZiSvHVq8L-AF0gClKN9i?usp=sharing" TargetMode="External"/><Relationship Id="rId125" Type="http://schemas.openxmlformats.org/officeDocument/2006/relationships/hyperlink" Target="https://maps.app.goo.gl/XLDgz2zDctvgXJY36" TargetMode="External"/><Relationship Id="rId246" Type="http://schemas.openxmlformats.org/officeDocument/2006/relationships/hyperlink" Target="https://drive.google.com/file/d/1mx_8uHLJvvDg30P8ZQYBKZ8X2HrW4qKt/view?usp=drive_link" TargetMode="External"/><Relationship Id="rId124" Type="http://schemas.openxmlformats.org/officeDocument/2006/relationships/hyperlink" Target="https://drive.google.com/file/d/1TYzvt69wgMavJML06PjUUnbMbDEO8_QD/view?usp=drive_link" TargetMode="External"/><Relationship Id="rId245" Type="http://schemas.openxmlformats.org/officeDocument/2006/relationships/hyperlink" Target="https://drive.google.com/file/d/1z2Y1Bd_UYS6hRaSoQol_BJBPZGnLjcNs/view?usp=drive_link" TargetMode="External"/><Relationship Id="rId123" Type="http://schemas.openxmlformats.org/officeDocument/2006/relationships/hyperlink" Target="https://drive.google.com/drive/folders/10YATDuB1tJq0BPpeVN2PGa5ycBcYHXgQ?usp=sharing" TargetMode="External"/><Relationship Id="rId244" Type="http://schemas.openxmlformats.org/officeDocument/2006/relationships/hyperlink" Target="https://drive.google.com/drive/folders/1EzXJJ6LdWA20drXPZOWRkRDNXnV4ZCq6?usp=sharing" TargetMode="External"/><Relationship Id="rId122" Type="http://schemas.openxmlformats.org/officeDocument/2006/relationships/hyperlink" Target="https://maps.app.goo.gl/JDGXVFdXYncbeQYm7" TargetMode="External"/><Relationship Id="rId243" Type="http://schemas.openxmlformats.org/officeDocument/2006/relationships/hyperlink" Target="https://maps.app.goo.gl/HJsDhFkdAX6CuDSeA" TargetMode="External"/><Relationship Id="rId95" Type="http://schemas.openxmlformats.org/officeDocument/2006/relationships/hyperlink" Target="https://drive.google.com/file/d/1BP-mHrKHpFKGu78Z6Z7lcPrNWnbZvME7/view?usp=drive_link" TargetMode="External"/><Relationship Id="rId94" Type="http://schemas.openxmlformats.org/officeDocument/2006/relationships/hyperlink" Target="https://drive.google.com/drive/folders/1oNKyRDVcWMmJGTAWSnCW8eR3GVZMRJfE?usp=sharing" TargetMode="External"/><Relationship Id="rId97" Type="http://schemas.openxmlformats.org/officeDocument/2006/relationships/hyperlink" Target="https://drive.google.com/drive/folders/1aYi4-jy-oSwoeMAv42kRkiiPN_mkmwQt?usp=sharing" TargetMode="External"/><Relationship Id="rId96" Type="http://schemas.openxmlformats.org/officeDocument/2006/relationships/hyperlink" Target="https://maps.app.goo.gl/CD65F2UT66e8R7C19" TargetMode="External"/><Relationship Id="rId99" Type="http://schemas.openxmlformats.org/officeDocument/2006/relationships/hyperlink" Target="https://maps.app.goo.gl/uhU6D59NPUCydLiP7" TargetMode="External"/><Relationship Id="rId98" Type="http://schemas.openxmlformats.org/officeDocument/2006/relationships/hyperlink" Target="https://drive.google.com/file/d/1SdYmDsl-83Y1UN3h4sJZqMCxsAO7dDiC/view?usp=drive_link" TargetMode="External"/><Relationship Id="rId91" Type="http://schemas.openxmlformats.org/officeDocument/2006/relationships/hyperlink" Target="https://drive.google.com/drive/folders/1AYC3b3teOTlk3jJ01LO83wSC5gUBTZi-?usp=sharing" TargetMode="External"/><Relationship Id="rId90" Type="http://schemas.openxmlformats.org/officeDocument/2006/relationships/hyperlink" Target="https://maps.app.goo.gl/Tgh7heXNKeZtn7du9" TargetMode="External"/><Relationship Id="rId93" Type="http://schemas.openxmlformats.org/officeDocument/2006/relationships/hyperlink" Target="https://maps.app.goo.gl/Vh5Ag6DdQSJZWcqM6" TargetMode="External"/><Relationship Id="rId92" Type="http://schemas.openxmlformats.org/officeDocument/2006/relationships/hyperlink" Target="https://drive.google.com/file/d/1u06zaI3A7v3D3a22tk0GHdFIJ2LivD_a/view?usp=drive_link" TargetMode="External"/><Relationship Id="rId118" Type="http://schemas.openxmlformats.org/officeDocument/2006/relationships/hyperlink" Target="https://drive.google.com/file/d/1aAzbN3JHk6EAPRIKT3nXT72yIaKlb2dQ/view?usp=drive_link" TargetMode="External"/><Relationship Id="rId239" Type="http://schemas.openxmlformats.org/officeDocument/2006/relationships/hyperlink" Target="https://maps.app.goo.gl/zuTjfexeR534KAe18" TargetMode="External"/><Relationship Id="rId117" Type="http://schemas.openxmlformats.org/officeDocument/2006/relationships/hyperlink" Target="https://drive.google.com/drive/folders/1ITY6v9m2B047iAzHssjOzpfyeIhIJbPY?usp=sharing" TargetMode="External"/><Relationship Id="rId238" Type="http://schemas.openxmlformats.org/officeDocument/2006/relationships/hyperlink" Target="https://drive.google.com/file/d/15ImjM6fHoZHYKv7o6sROUr_YG-NVMzVv/view?usp=drive_link" TargetMode="External"/><Relationship Id="rId116" Type="http://schemas.openxmlformats.org/officeDocument/2006/relationships/hyperlink" Target="https://maps.app.goo.gl/T92h2MqGWX6hq7zD9" TargetMode="External"/><Relationship Id="rId237" Type="http://schemas.openxmlformats.org/officeDocument/2006/relationships/hyperlink" Target="https://drive.google.com/file/d/1FWTz2ZvZ1zDHSjuqh1sTmYnf-0iBy0WV/view?usp=drive_link" TargetMode="External"/><Relationship Id="rId115" Type="http://schemas.openxmlformats.org/officeDocument/2006/relationships/hyperlink" Target="https://drive.google.com/file/d/1R9vB5BNbmMaVCJrprKJuc1Z2V0pTTgFZ/view?usp=drive_link" TargetMode="External"/><Relationship Id="rId236" Type="http://schemas.openxmlformats.org/officeDocument/2006/relationships/hyperlink" Target="https://drive.google.com/drive/folders/1Bmzk7l538ei--htotjH3VRp-WZwSLIcs?usp=sharing" TargetMode="External"/><Relationship Id="rId119" Type="http://schemas.openxmlformats.org/officeDocument/2006/relationships/hyperlink" Target="https://maps.app.goo.gl/Gq7E6h5dYHkFVcoHA" TargetMode="External"/><Relationship Id="rId110" Type="http://schemas.openxmlformats.org/officeDocument/2006/relationships/hyperlink" Target="https://maps.app.goo.gl/WViYDWghYJv8d1eo9" TargetMode="External"/><Relationship Id="rId231" Type="http://schemas.openxmlformats.org/officeDocument/2006/relationships/hyperlink" Target="https://maps.app.goo.gl/n1C6Jj1kn4R19cFv7" TargetMode="External"/><Relationship Id="rId230" Type="http://schemas.openxmlformats.org/officeDocument/2006/relationships/hyperlink" Target="https://drive.google.com/file/d/1uSiOOVzYwUwhqcMXhfkRFooUGgGAQhoM/view?usp=drive_link" TargetMode="External"/><Relationship Id="rId114" Type="http://schemas.openxmlformats.org/officeDocument/2006/relationships/hyperlink" Target="https://drive.google.com/drive/folders/1Qn4rRIex_zOJBqFOPjsTslLEZyfiatku?usp=sharing" TargetMode="External"/><Relationship Id="rId235" Type="http://schemas.openxmlformats.org/officeDocument/2006/relationships/hyperlink" Target="https://maps.app.goo.gl/iMiq3uoxQE6EL8TC8" TargetMode="External"/><Relationship Id="rId113" Type="http://schemas.openxmlformats.org/officeDocument/2006/relationships/hyperlink" Target="https://maps.app.goo.gl/c1NUfeXg7qQ2CET96" TargetMode="External"/><Relationship Id="rId234" Type="http://schemas.openxmlformats.org/officeDocument/2006/relationships/hyperlink" Target="https://drive.google.com/file/d/1kqli2zDUdu7twn6EuFhwAHlSs0UPgqdN/view?usp=drive_link" TargetMode="External"/><Relationship Id="rId112" Type="http://schemas.openxmlformats.org/officeDocument/2006/relationships/hyperlink" Target="https://drive.google.com/file/d/1eBAsTGU6I33AinL5BcIh_OtoG4Iqr5UG/view?usp=drive_link" TargetMode="External"/><Relationship Id="rId233" Type="http://schemas.openxmlformats.org/officeDocument/2006/relationships/hyperlink" Target="https://drive.google.com/file/d/14zd-3I8ihMZasS8s29dOF2wLSs0i3UW6/view?usp=drive_link" TargetMode="External"/><Relationship Id="rId111" Type="http://schemas.openxmlformats.org/officeDocument/2006/relationships/hyperlink" Target="https://drive.google.com/drive/folders/10wonSx9wUG_pBoT27e5GUuFgUPLRyFVV?usp=sharing" TargetMode="External"/><Relationship Id="rId232" Type="http://schemas.openxmlformats.org/officeDocument/2006/relationships/hyperlink" Target="https://drive.google.com/drive/folders/1xRMbXm3a8R0mqOGbU2evUMA5aMe9LJyz?usp=sharing" TargetMode="External"/><Relationship Id="rId305" Type="http://schemas.openxmlformats.org/officeDocument/2006/relationships/hyperlink" Target="https://drive.google.com/file/d/1VfoMqZwcnM6asv5jx3YrDoQFl8GRCn5a/view?usp=drive_link" TargetMode="External"/><Relationship Id="rId304" Type="http://schemas.openxmlformats.org/officeDocument/2006/relationships/hyperlink" Target="https://drive.google.com/drive/folders/19w1ZuslPGlItZaw2C21FVUXThLMjKRRe?usp=sharing" TargetMode="External"/><Relationship Id="rId303" Type="http://schemas.openxmlformats.org/officeDocument/2006/relationships/hyperlink" Target="https://maps.app.goo.gl/s3QuHUJEv1guhqgLA" TargetMode="External"/><Relationship Id="rId302" Type="http://schemas.openxmlformats.org/officeDocument/2006/relationships/hyperlink" Target="https://drive.google.com/file/d/1SR1K5jmD2v7JKf0dMJm4SAH01SAzKzdk/view?usp=drive_link" TargetMode="External"/><Relationship Id="rId309" Type="http://schemas.openxmlformats.org/officeDocument/2006/relationships/hyperlink" Target="https://drive.google.com/file/d/1rJ_B2T6X7OVUxOnqyFbXCZkNPV-TwVRU/view?usp=drive_link" TargetMode="External"/><Relationship Id="rId308" Type="http://schemas.openxmlformats.org/officeDocument/2006/relationships/hyperlink" Target="https://drive.google.com/file/d/16_aJE79ZcevprWYHqd2gcVOhXFfgM4WL/view?usp=drive_link" TargetMode="External"/><Relationship Id="rId307" Type="http://schemas.openxmlformats.org/officeDocument/2006/relationships/hyperlink" Target="https://drive.google.com/drive/folders/1aeYgAxUaFGExi-R3GadJHHntM_SgzEWK?usp=sharing" TargetMode="External"/><Relationship Id="rId306" Type="http://schemas.openxmlformats.org/officeDocument/2006/relationships/hyperlink" Target="https://maps.app.goo.gl/yTdzqXV3EaWrhy26A" TargetMode="External"/><Relationship Id="rId301" Type="http://schemas.openxmlformats.org/officeDocument/2006/relationships/hyperlink" Target="https://drive.google.com/drive/folders/1veNvXm7xatEWpEkvfXYiqnmR3hveh5um?usp=sharing" TargetMode="External"/><Relationship Id="rId300" Type="http://schemas.openxmlformats.org/officeDocument/2006/relationships/hyperlink" Target="https://maps.app.goo.gl/m2bzvi7HVqXPbsLu6" TargetMode="External"/><Relationship Id="rId206" Type="http://schemas.openxmlformats.org/officeDocument/2006/relationships/hyperlink" Target="https://drive.google.com/file/d/1otStkyXJ5cMoskANST_LAfMcRn4lgJEO/view?usp=drive_link" TargetMode="External"/><Relationship Id="rId327" Type="http://schemas.openxmlformats.org/officeDocument/2006/relationships/drawing" Target="../drawings/drawing3.xml"/><Relationship Id="rId205" Type="http://schemas.openxmlformats.org/officeDocument/2006/relationships/hyperlink" Target="https://drive.google.com/file/d/160QJlN7tSVKZpA68z5bNR5B4NEpR1isi/view?usp=drive_link" TargetMode="External"/><Relationship Id="rId326" Type="http://schemas.openxmlformats.org/officeDocument/2006/relationships/hyperlink" Target="https://maps.app.goo.gl/jHv44JCYyNixDCcA6" TargetMode="External"/><Relationship Id="rId204" Type="http://schemas.openxmlformats.org/officeDocument/2006/relationships/hyperlink" Target="https://drive.google.com/file/d/1cw1oTDK_37h4HxSZZ4tyh_D6Y27yOQzT/view?usp=drive_link" TargetMode="External"/><Relationship Id="rId325" Type="http://schemas.openxmlformats.org/officeDocument/2006/relationships/hyperlink" Target="https://drive.google.com/drive/folders/17WjoUik9s8EOH_Xi4VDy9fPr9wPVI4K0?usp=sharing" TargetMode="External"/><Relationship Id="rId203" Type="http://schemas.openxmlformats.org/officeDocument/2006/relationships/hyperlink" Target="https://drive.google.com/drive/folders/1AJNMv3naawKBJ9Mt83Jtf-aex_oH9lGi?usp=sharing" TargetMode="External"/><Relationship Id="rId324" Type="http://schemas.openxmlformats.org/officeDocument/2006/relationships/hyperlink" Target="https://maps.app.goo.gl/LbV7qtXnk6XSFvGJ8" TargetMode="External"/><Relationship Id="rId209" Type="http://schemas.openxmlformats.org/officeDocument/2006/relationships/hyperlink" Target="https://drive.google.com/file/d/1V8HprzJkYwYXO6GXgfjV18_psq9veEUg/view?usp=drive_link" TargetMode="External"/><Relationship Id="rId208" Type="http://schemas.openxmlformats.org/officeDocument/2006/relationships/hyperlink" Target="https://drive.google.com/drive/folders/1Si-2BM1SEic8HGNIGtGJ0oKi1wsQscL8?usp=sharing" TargetMode="External"/><Relationship Id="rId207" Type="http://schemas.openxmlformats.org/officeDocument/2006/relationships/hyperlink" Target="https://maps.app.goo.gl/dNG8jexgMtubqz4t8" TargetMode="External"/><Relationship Id="rId328" Type="http://schemas.openxmlformats.org/officeDocument/2006/relationships/vmlDrawing" Target="../drawings/vmlDrawing3.vml"/><Relationship Id="rId202" Type="http://schemas.openxmlformats.org/officeDocument/2006/relationships/hyperlink" Target="https://maps.app.goo.gl/4VghXYvukSyxbbzY6" TargetMode="External"/><Relationship Id="rId323" Type="http://schemas.openxmlformats.org/officeDocument/2006/relationships/hyperlink" Target="https://drive.google.com/file/d/1U17g_ZAugTSbTm7cejzBvaGBnsppx5rj/view?usp=drive_link" TargetMode="External"/><Relationship Id="rId201" Type="http://schemas.openxmlformats.org/officeDocument/2006/relationships/hyperlink" Target="https://drive.google.com/file/d/1_wNpbBvGZsa8IKAT0vKeRm8_-AHiQ3h3/view?usp=drive_link" TargetMode="External"/><Relationship Id="rId322" Type="http://schemas.openxmlformats.org/officeDocument/2006/relationships/hyperlink" Target="https://drive.google.com/file/d/1wi28OTZNxeI3X3Z1lre3dj8SCIFIN5j-/view?usp=drive_link" TargetMode="External"/><Relationship Id="rId200" Type="http://schemas.openxmlformats.org/officeDocument/2006/relationships/hyperlink" Target="https://drive.google.com/drive/folders/1VrvJwPt-93PaYg9RJfqi3NdFovr0Oz_a?usp=sharing" TargetMode="External"/><Relationship Id="rId321" Type="http://schemas.openxmlformats.org/officeDocument/2006/relationships/hyperlink" Target="https://drive.google.com/drive/folders/1x0Hu4DsWbhbjvpAxBAwF0waS52WK9cbM?usp=sharing" TargetMode="External"/><Relationship Id="rId320" Type="http://schemas.openxmlformats.org/officeDocument/2006/relationships/hyperlink" Target="https://maps.app.goo.gl/tgizF6aRHLRTRUCWA" TargetMode="External"/><Relationship Id="rId316" Type="http://schemas.openxmlformats.org/officeDocument/2006/relationships/hyperlink" Target="https://maps.app.goo.gl/bKijst3yjRurpLT38" TargetMode="External"/><Relationship Id="rId315" Type="http://schemas.openxmlformats.org/officeDocument/2006/relationships/hyperlink" Target="https://drive.google.com/file/d/1yfaaxAzaGfOIs7WsNpN00HYJ28bKk-im/view?usp=drive_link" TargetMode="External"/><Relationship Id="rId314" Type="http://schemas.openxmlformats.org/officeDocument/2006/relationships/hyperlink" Target="https://drive.google.com/drive/folders/18_1HHyjBJ-QXUCsWEBwG1E4WzOEbtEfh?usp=sharing" TargetMode="External"/><Relationship Id="rId313" Type="http://schemas.openxmlformats.org/officeDocument/2006/relationships/hyperlink" Target="https://maps.app.goo.gl/SoCokBRKjYdENcBC9" TargetMode="External"/><Relationship Id="rId319" Type="http://schemas.openxmlformats.org/officeDocument/2006/relationships/hyperlink" Target="https://drive.google.com/file/d/1j9RSRwrBYfF-OrVArdjWzNi5CNGh5_-K/view?usp=drive_link" TargetMode="External"/><Relationship Id="rId318" Type="http://schemas.openxmlformats.org/officeDocument/2006/relationships/hyperlink" Target="https://drive.google.com/file/d/1FQZ37T-PHl2OT6EfKhn4XmcH4Tfvs3E5/view?usp=drive_link" TargetMode="External"/><Relationship Id="rId317" Type="http://schemas.openxmlformats.org/officeDocument/2006/relationships/hyperlink" Target="https://drive.google.com/drive/folders/19Jdgf7v-SrgGGrtuwQxB7QSVR3g_jc93?usp=sharing" TargetMode="External"/><Relationship Id="rId312" Type="http://schemas.openxmlformats.org/officeDocument/2006/relationships/hyperlink" Target="https://drive.google.com/file/d/1g5cAzPOCwpqg2GvW-YbHpkSfN5W0bHd4/view?usp=drive_link" TargetMode="External"/><Relationship Id="rId311" Type="http://schemas.openxmlformats.org/officeDocument/2006/relationships/hyperlink" Target="https://drive.google.com/drive/folders/1qjjz2o0qdf1q0-ZBdPp97h4eb31SuF5b?usp=sharing" TargetMode="External"/><Relationship Id="rId310" Type="http://schemas.openxmlformats.org/officeDocument/2006/relationships/hyperlink" Target="https://maps.app.goo.gl/tNgDKYEc4UDZTmJj9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6.0" ySplit="4.0" topLeftCell="G5" activePane="bottomRight" state="frozen"/>
      <selection activeCell="G1" sqref="G1" pane="topRight"/>
      <selection activeCell="A5" sqref="A5" pane="bottomLeft"/>
      <selection activeCell="G5" sqref="G5" pane="bottomRight"/>
    </sheetView>
  </sheetViews>
  <sheetFormatPr customHeight="1" defaultColWidth="14.43" defaultRowHeight="15.0" outlineLevelCol="2"/>
  <cols>
    <col customWidth="1" hidden="1" min="1" max="1" width="15.71" outlineLevel="1"/>
    <col collapsed="1" customWidth="1" min="2" max="2" width="13.86"/>
    <col customWidth="1" hidden="1" min="3" max="4" width="15.29" outlineLevel="1"/>
    <col collapsed="1" customWidth="1" min="5" max="5" width="35.57"/>
    <col customWidth="1" min="6" max="6" width="16.29"/>
    <col customWidth="1" min="7" max="7" width="23.29"/>
    <col customWidth="1" min="8" max="8" width="48.29"/>
    <col customWidth="1" min="9" max="9" width="40.29"/>
    <col customWidth="1" min="10" max="10" width="32.57"/>
    <col customWidth="1" min="11" max="11" width="34.71"/>
    <col customWidth="1" min="12" max="12" width="26.29"/>
    <col customWidth="1" min="13" max="13" width="22.71"/>
    <col customWidth="1" min="14" max="14" width="14.0"/>
    <col customWidth="1" min="15" max="15" width="58.29"/>
    <col customWidth="1" min="16" max="16" width="14.43"/>
    <col customWidth="1" min="17" max="18" width="13.86"/>
    <col customWidth="1" min="19" max="19" width="14.86" outlineLevel="1"/>
    <col customWidth="1" hidden="1" min="20" max="20" width="14.86" outlineLevel="2"/>
    <col collapsed="1" customWidth="1" min="21" max="21" width="15.14" outlineLevel="1"/>
    <col customWidth="1" min="22" max="22" width="14.86" outlineLevel="1"/>
    <col customWidth="1" hidden="1" min="23" max="23" width="14.86" outlineLevel="2"/>
    <col collapsed="1" customWidth="1" min="24" max="24" width="15.57" outlineLevel="1"/>
    <col customWidth="1" min="25" max="25" width="14.86" outlineLevel="1"/>
    <col customWidth="1" min="26" max="26" width="17.29" outlineLevel="1"/>
    <col customWidth="1" min="27" max="27" width="7.71" outlineLevel="1"/>
    <col customWidth="1" min="28" max="28" width="16.14" outlineLevel="1"/>
    <col customWidth="1" min="29" max="29" width="13.71"/>
    <col customWidth="1" min="30" max="30" width="13.86"/>
    <col customWidth="1" min="31" max="31" width="14.71"/>
    <col customWidth="1" min="32" max="32" width="13.57"/>
    <col customWidth="1" min="33" max="33" width="12.71"/>
    <col customWidth="1" min="34" max="34" width="10.43"/>
    <col customWidth="1" min="35" max="36" width="5.57"/>
    <col customWidth="1" min="37" max="37" width="13.57"/>
    <col customWidth="1" min="38" max="38" width="13.0"/>
    <col customWidth="1" min="39" max="39" width="21.0"/>
    <col customWidth="1" min="40" max="40" width="18.71"/>
    <col customWidth="1" min="41" max="41" width="13.0"/>
    <col customWidth="1" min="42" max="42" width="15.29"/>
    <col customWidth="1" min="43" max="43" width="15.14"/>
    <col customWidth="1" min="44" max="44" width="19.14"/>
    <col customWidth="1" min="45" max="45" width="15.0"/>
    <col customWidth="1" min="46" max="46" width="14.71"/>
    <col customWidth="1" min="47" max="47" width="11.86"/>
    <col customWidth="1" min="48" max="48" width="14.14"/>
    <col customWidth="1" min="49" max="50" width="9.0"/>
    <col customWidth="1" min="51" max="51" width="12.86"/>
    <col customWidth="1" min="52" max="52" width="65.29"/>
    <col customWidth="1" min="53" max="53" width="16.14"/>
    <col customWidth="1" min="54" max="54" width="10.14"/>
    <col customWidth="1" hidden="1" min="55" max="55" width="14.0" outlineLevel="1"/>
    <col customWidth="1" hidden="1" min="56" max="56" width="11.14" outlineLevel="1"/>
    <col customWidth="1" hidden="1" min="57" max="60" width="8.43" outlineLevel="1"/>
    <col collapsed="1" customWidth="1" min="61" max="61" width="9.86"/>
    <col customWidth="1" hidden="1" min="62" max="62" width="55.14" outlineLevel="1"/>
    <col collapsed="1" customWidth="1" min="63" max="63" width="18.29"/>
    <col customWidth="1" hidden="1" min="64" max="64" width="10.14" outlineLevel="1"/>
    <col customWidth="1" hidden="1" min="65" max="65" width="13.0" outlineLevel="1"/>
    <col customWidth="1" hidden="1" min="66" max="66" width="14.0" outlineLevel="1"/>
    <col collapsed="1" customWidth="1" min="67" max="67" width="27.43"/>
    <col customWidth="1" min="68" max="68" width="49.0"/>
    <col customWidth="1" min="69" max="69" width="39.71"/>
    <col customWidth="1" min="70" max="70" width="17.86"/>
    <col customWidth="1" min="71" max="72" width="36.0"/>
  </cols>
  <sheetData>
    <row r="1">
      <c r="A1" s="1" t="s">
        <v>0</v>
      </c>
      <c r="B1" s="2" t="s">
        <v>1</v>
      </c>
      <c r="C1" s="3"/>
      <c r="D1" s="3"/>
      <c r="E1" s="4" t="s">
        <v>2</v>
      </c>
      <c r="F1" s="5" t="s">
        <v>3</v>
      </c>
      <c r="G1" s="6"/>
      <c r="H1" s="7"/>
      <c r="I1" s="8"/>
      <c r="J1" s="9"/>
      <c r="K1" s="10"/>
      <c r="L1" s="11" t="s">
        <v>4</v>
      </c>
      <c r="M1" s="11" t="s">
        <v>5</v>
      </c>
      <c r="N1" s="12"/>
      <c r="O1" s="13"/>
      <c r="P1" s="12"/>
      <c r="Q1" s="14" t="s">
        <v>6</v>
      </c>
      <c r="R1" s="12"/>
      <c r="S1" s="12"/>
      <c r="T1" s="15"/>
      <c r="U1" s="12"/>
      <c r="V1" s="16"/>
      <c r="W1" s="15"/>
      <c r="X1" s="17"/>
      <c r="Y1" s="12"/>
      <c r="Z1" s="17"/>
      <c r="AA1" s="18"/>
      <c r="AB1" s="18"/>
      <c r="AC1" s="19"/>
      <c r="AD1" s="14" t="s">
        <v>7</v>
      </c>
      <c r="AE1" s="20">
        <f>AE3/4</f>
        <v>160.25</v>
      </c>
      <c r="AF1" s="21" t="s">
        <v>8</v>
      </c>
      <c r="AG1" s="22">
        <f>AE3/12</f>
        <v>53.41666667</v>
      </c>
      <c r="AH1" s="18">
        <f>AE3*2480</f>
        <v>1589680</v>
      </c>
      <c r="AI1" s="8"/>
      <c r="AJ1" s="23"/>
      <c r="AK1" s="12"/>
      <c r="AL1" s="17"/>
      <c r="AM1" s="24"/>
      <c r="AN1" s="25"/>
      <c r="AO1" s="12"/>
      <c r="AP1" s="8"/>
      <c r="AQ1" s="17"/>
      <c r="AR1" s="8"/>
      <c r="AS1" s="26"/>
      <c r="AT1" s="27">
        <f>AT2/10</f>
        <v>184608</v>
      </c>
      <c r="AU1" s="8"/>
      <c r="AV1" s="8"/>
      <c r="AW1" s="8"/>
      <c r="AX1" s="8"/>
      <c r="AY1" s="8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28"/>
      <c r="BK1" s="29"/>
      <c r="BL1" s="30"/>
      <c r="BM1" s="30"/>
      <c r="BN1" s="31"/>
      <c r="BO1" s="32"/>
      <c r="BP1" s="32"/>
      <c r="BQ1" s="32"/>
      <c r="BR1" s="32"/>
      <c r="BS1" s="32"/>
      <c r="BT1" s="32"/>
    </row>
    <row r="2">
      <c r="A2" s="33" t="s">
        <v>9</v>
      </c>
      <c r="B2" s="34">
        <v>4.60008637E9</v>
      </c>
      <c r="C2" s="35"/>
      <c r="D2" s="36"/>
      <c r="E2" s="37">
        <f>E3/B3</f>
        <v>0</v>
      </c>
      <c r="F2" s="38" t="s">
        <v>10</v>
      </c>
      <c r="G2" s="6"/>
      <c r="H2" s="39"/>
      <c r="I2" s="40"/>
      <c r="J2" s="10"/>
      <c r="K2" s="10"/>
      <c r="L2" s="41" t="s">
        <v>11</v>
      </c>
      <c r="M2" s="11" t="s">
        <v>12</v>
      </c>
      <c r="N2" s="12"/>
      <c r="O2" s="9"/>
      <c r="P2" s="12"/>
      <c r="Q2" s="14" t="s">
        <v>13</v>
      </c>
      <c r="R2" s="12"/>
      <c r="S2" s="12"/>
      <c r="T2" s="15"/>
      <c r="U2" s="12"/>
      <c r="V2" s="12"/>
      <c r="W2" s="15"/>
      <c r="X2" s="8"/>
      <c r="Y2" s="17"/>
      <c r="Z2" s="17"/>
      <c r="AA2" s="18"/>
      <c r="AB2" s="18"/>
      <c r="AC2" s="32"/>
      <c r="AD2" s="14" t="s">
        <v>14</v>
      </c>
      <c r="AE2" s="20">
        <f>AE3/B3</f>
        <v>16.43589744</v>
      </c>
      <c r="AF2" s="42">
        <f>AF3/AE3</f>
        <v>0</v>
      </c>
      <c r="AG2" s="42">
        <f>AG3/AE3</f>
        <v>0</v>
      </c>
      <c r="AH2" s="32"/>
      <c r="AI2" s="8"/>
      <c r="AJ2" s="23"/>
      <c r="AK2" s="43"/>
      <c r="AL2" s="17"/>
      <c r="AM2" s="25"/>
      <c r="AN2" s="44"/>
      <c r="AO2" s="12"/>
      <c r="AP2" s="8"/>
      <c r="AQ2" s="45"/>
      <c r="AR2" s="8"/>
      <c r="AS2" s="26"/>
      <c r="AT2" s="46">
        <f>AE3*2880</f>
        <v>1846080</v>
      </c>
      <c r="AU2" s="47"/>
      <c r="AV2" s="47">
        <f t="shared" ref="AV2:AV3" si="3">AE2*2480</f>
        <v>40761.02564</v>
      </c>
      <c r="AW2" s="32"/>
      <c r="AX2" s="32"/>
      <c r="AY2" s="8"/>
      <c r="AZ2" s="19"/>
      <c r="BA2" s="48"/>
      <c r="BB2" s="44"/>
      <c r="BC2" s="44"/>
      <c r="BD2" s="44"/>
      <c r="BE2" s="44"/>
      <c r="BF2" s="44"/>
      <c r="BG2" s="44"/>
      <c r="BH2" s="44"/>
      <c r="BI2" s="44"/>
      <c r="BJ2" s="48"/>
      <c r="BK2" s="49"/>
      <c r="BL2" s="50"/>
      <c r="BM2" s="50"/>
      <c r="BN2" s="31"/>
      <c r="BO2" s="32"/>
      <c r="BP2" s="32"/>
      <c r="BQ2" s="32"/>
      <c r="BR2" s="32"/>
      <c r="BS2" s="32"/>
      <c r="BT2" s="32"/>
    </row>
    <row r="3">
      <c r="A3" s="51" t="s">
        <v>15</v>
      </c>
      <c r="B3" s="52">
        <f>SUBTOTAL(3,B5:B98)</f>
        <v>39</v>
      </c>
      <c r="C3" s="53"/>
      <c r="D3" s="53"/>
      <c r="E3" s="17"/>
      <c r="F3" s="54"/>
      <c r="G3" s="54"/>
      <c r="H3" s="7"/>
      <c r="I3" s="40"/>
      <c r="J3" s="10"/>
      <c r="K3" s="10"/>
      <c r="L3" s="41" t="s">
        <v>16</v>
      </c>
      <c r="M3" s="11" t="s">
        <v>17</v>
      </c>
      <c r="N3" s="12"/>
      <c r="O3" s="9"/>
      <c r="P3" s="12"/>
      <c r="Q3" s="14" t="s">
        <v>18</v>
      </c>
      <c r="R3" s="12"/>
      <c r="S3" s="12"/>
      <c r="T3" s="15"/>
      <c r="U3" s="12"/>
      <c r="V3" s="12"/>
      <c r="W3" s="15"/>
      <c r="X3" s="8"/>
      <c r="Y3" s="12"/>
      <c r="Z3" s="8"/>
      <c r="AA3" s="18"/>
      <c r="AB3" s="55" t="s">
        <v>19</v>
      </c>
      <c r="AC3" s="52">
        <f t="shared" ref="AC3:AH3" si="1">SUBTOTAL(9,AC5:AC98)</f>
        <v>47</v>
      </c>
      <c r="AD3" s="52">
        <f t="shared" si="1"/>
        <v>0</v>
      </c>
      <c r="AE3" s="52">
        <f t="shared" si="1"/>
        <v>641</v>
      </c>
      <c r="AF3" s="52">
        <f t="shared" si="1"/>
        <v>0</v>
      </c>
      <c r="AG3" s="52">
        <f t="shared" si="1"/>
        <v>0</v>
      </c>
      <c r="AH3" s="52">
        <f t="shared" si="1"/>
        <v>641</v>
      </c>
      <c r="AI3" s="8"/>
      <c r="AJ3" s="23"/>
      <c r="AK3" s="12"/>
      <c r="AL3" s="12"/>
      <c r="AM3" s="25"/>
      <c r="AN3" s="25"/>
      <c r="AO3" s="12"/>
      <c r="AP3" s="8"/>
      <c r="AQ3" s="56" t="s">
        <v>20</v>
      </c>
      <c r="AR3" s="8"/>
      <c r="AS3" s="57">
        <f t="shared" ref="AS3:AT3" si="2">SUBTOTAL(9,AS5:AS98)</f>
        <v>11853380.47</v>
      </c>
      <c r="AT3" s="57">
        <f t="shared" si="2"/>
        <v>0</v>
      </c>
      <c r="AU3" s="58"/>
      <c r="AV3" s="59">
        <f t="shared" si="3"/>
        <v>1589680</v>
      </c>
      <c r="AW3" s="60">
        <f t="shared" ref="AW3:AX3" si="4">SUBTOTAL(9,AW5:AW98)</f>
        <v>0</v>
      </c>
      <c r="AX3" s="60">
        <f t="shared" si="4"/>
        <v>0</v>
      </c>
      <c r="AY3" s="19"/>
      <c r="AZ3" s="19"/>
      <c r="BA3" s="19"/>
      <c r="BB3" s="44"/>
      <c r="BC3" s="44"/>
      <c r="BD3" s="44"/>
      <c r="BE3" s="44"/>
      <c r="BF3" s="44"/>
      <c r="BG3" s="44"/>
      <c r="BH3" s="44"/>
      <c r="BI3" s="44"/>
      <c r="BJ3" s="48"/>
      <c r="BK3" s="29"/>
      <c r="BL3" s="30"/>
      <c r="BM3" s="30"/>
      <c r="BN3" s="31"/>
      <c r="BO3" s="32"/>
      <c r="BP3" s="32"/>
      <c r="BQ3" s="61"/>
      <c r="BR3" s="32"/>
      <c r="BS3" s="32"/>
      <c r="BT3" s="32"/>
    </row>
    <row r="4">
      <c r="A4" s="62" t="s">
        <v>21</v>
      </c>
      <c r="B4" s="63" t="s">
        <v>22</v>
      </c>
      <c r="C4" s="64" t="s">
        <v>23</v>
      </c>
      <c r="D4" s="64" t="s">
        <v>24</v>
      </c>
      <c r="E4" s="62" t="s">
        <v>25</v>
      </c>
      <c r="F4" s="62" t="s">
        <v>26</v>
      </c>
      <c r="G4" s="65" t="s">
        <v>27</v>
      </c>
      <c r="H4" s="62" t="s">
        <v>28</v>
      </c>
      <c r="I4" s="62" t="s">
        <v>29</v>
      </c>
      <c r="J4" s="66" t="s">
        <v>30</v>
      </c>
      <c r="K4" s="66" t="s">
        <v>31</v>
      </c>
      <c r="L4" s="62" t="s">
        <v>32</v>
      </c>
      <c r="M4" s="62" t="s">
        <v>33</v>
      </c>
      <c r="N4" s="67" t="s">
        <v>34</v>
      </c>
      <c r="O4" s="67" t="s">
        <v>35</v>
      </c>
      <c r="P4" s="68" t="s">
        <v>36</v>
      </c>
      <c r="Q4" s="68" t="s">
        <v>37</v>
      </c>
      <c r="R4" s="69" t="s">
        <v>38</v>
      </c>
      <c r="S4" s="70" t="s">
        <v>39</v>
      </c>
      <c r="T4" s="70" t="s">
        <v>40</v>
      </c>
      <c r="U4" s="70" t="s">
        <v>41</v>
      </c>
      <c r="V4" s="71" t="s">
        <v>42</v>
      </c>
      <c r="W4" s="72" t="s">
        <v>40</v>
      </c>
      <c r="X4" s="73" t="s">
        <v>43</v>
      </c>
      <c r="Y4" s="74" t="s">
        <v>44</v>
      </c>
      <c r="Z4" s="70" t="s">
        <v>45</v>
      </c>
      <c r="AA4" s="70" t="s">
        <v>46</v>
      </c>
      <c r="AB4" s="70" t="s">
        <v>47</v>
      </c>
      <c r="AC4" s="62" t="s">
        <v>48</v>
      </c>
      <c r="AD4" s="75" t="s">
        <v>49</v>
      </c>
      <c r="AE4" s="76" t="s">
        <v>50</v>
      </c>
      <c r="AF4" s="62" t="s">
        <v>51</v>
      </c>
      <c r="AG4" s="76" t="s">
        <v>52</v>
      </c>
      <c r="AH4" s="76" t="s">
        <v>53</v>
      </c>
      <c r="AI4" s="62" t="s">
        <v>54</v>
      </c>
      <c r="AJ4" s="62" t="s">
        <v>55</v>
      </c>
      <c r="AK4" s="77" t="s">
        <v>56</v>
      </c>
      <c r="AL4" s="77" t="s">
        <v>57</v>
      </c>
      <c r="AM4" s="78" t="s">
        <v>58</v>
      </c>
      <c r="AN4" s="79" t="s">
        <v>59</v>
      </c>
      <c r="AO4" s="80" t="s">
        <v>60</v>
      </c>
      <c r="AP4" s="81" t="s">
        <v>61</v>
      </c>
      <c r="AQ4" s="81" t="s">
        <v>62</v>
      </c>
      <c r="AR4" s="81" t="s">
        <v>63</v>
      </c>
      <c r="AS4" s="82" t="s">
        <v>64</v>
      </c>
      <c r="AT4" s="82" t="s">
        <v>65</v>
      </c>
      <c r="AU4" s="75" t="s">
        <v>66</v>
      </c>
      <c r="AV4" s="62" t="s">
        <v>67</v>
      </c>
      <c r="AW4" s="62" t="s">
        <v>68</v>
      </c>
      <c r="AX4" s="62" t="s">
        <v>69</v>
      </c>
      <c r="AY4" s="62" t="s">
        <v>70</v>
      </c>
      <c r="AZ4" s="62" t="s">
        <v>71</v>
      </c>
      <c r="BA4" s="62" t="s">
        <v>72</v>
      </c>
      <c r="BB4" s="62" t="s">
        <v>73</v>
      </c>
      <c r="BC4" s="62" t="s">
        <v>74</v>
      </c>
      <c r="BD4" s="62" t="s">
        <v>75</v>
      </c>
      <c r="BE4" s="62" t="s">
        <v>76</v>
      </c>
      <c r="BF4" s="62" t="s">
        <v>77</v>
      </c>
      <c r="BG4" s="62" t="s">
        <v>78</v>
      </c>
      <c r="BH4" s="62" t="s">
        <v>79</v>
      </c>
      <c r="BI4" s="62" t="s">
        <v>80</v>
      </c>
      <c r="BJ4" s="83" t="s">
        <v>81</v>
      </c>
      <c r="BK4" s="84" t="s">
        <v>82</v>
      </c>
      <c r="BL4" s="85" t="s">
        <v>83</v>
      </c>
      <c r="BM4" s="85" t="s">
        <v>84</v>
      </c>
      <c r="BN4" s="85" t="s">
        <v>85</v>
      </c>
      <c r="BO4" s="86" t="s">
        <v>86</v>
      </c>
      <c r="BP4" s="86" t="s">
        <v>86</v>
      </c>
      <c r="BQ4" s="86" t="s">
        <v>86</v>
      </c>
      <c r="BR4" s="87" t="s">
        <v>87</v>
      </c>
      <c r="BS4" s="88"/>
      <c r="BT4" s="88"/>
    </row>
    <row r="5">
      <c r="A5" s="89">
        <v>9.102043744E9</v>
      </c>
      <c r="B5" s="90" t="s">
        <v>88</v>
      </c>
      <c r="C5" s="91"/>
      <c r="D5" s="91"/>
      <c r="E5" s="92" t="s">
        <v>89</v>
      </c>
      <c r="F5" s="93" t="s">
        <v>90</v>
      </c>
      <c r="G5" s="94"/>
      <c r="H5" s="95"/>
      <c r="I5" s="96"/>
      <c r="J5" s="97" t="str">
        <f>VLOOKUP(I5,DADOS!B:F,5,0)</f>
        <v>#N/A</v>
      </c>
      <c r="K5" s="98"/>
      <c r="L5" s="99" t="s">
        <v>16</v>
      </c>
      <c r="M5" s="99" t="s">
        <v>91</v>
      </c>
      <c r="N5" s="100"/>
      <c r="O5" s="101"/>
      <c r="P5" s="102">
        <v>46066.0</v>
      </c>
      <c r="Q5" s="103" t="s">
        <v>92</v>
      </c>
      <c r="R5" s="100"/>
      <c r="S5" s="104" t="s">
        <v>93</v>
      </c>
      <c r="T5" s="104" t="s">
        <v>93</v>
      </c>
      <c r="U5" s="104" t="s">
        <v>93</v>
      </c>
      <c r="V5" s="105" t="s">
        <v>94</v>
      </c>
      <c r="W5" s="106"/>
      <c r="X5" s="104" t="s">
        <v>93</v>
      </c>
      <c r="Y5" s="107"/>
      <c r="Z5" s="108"/>
      <c r="AA5" s="109"/>
      <c r="AB5" s="110" t="s">
        <v>95</v>
      </c>
      <c r="AC5" s="99">
        <v>3.0</v>
      </c>
      <c r="AD5" s="99"/>
      <c r="AE5" s="99">
        <v>5.0</v>
      </c>
      <c r="AF5" s="111"/>
      <c r="AG5" s="111"/>
      <c r="AH5" s="112">
        <f t="shared" ref="AH5:AH98" si="5">AE5-AG5</f>
        <v>5</v>
      </c>
      <c r="AI5" s="113">
        <f t="shared" ref="AI5:AI98" si="6">IF(OR(AE5=0, ISERR(AG5/AE5)), 0, AG5/AE5)</f>
        <v>0</v>
      </c>
      <c r="AJ5" s="114">
        <v>1.0</v>
      </c>
      <c r="AK5" s="100"/>
      <c r="AL5" s="100"/>
      <c r="AM5" s="115"/>
      <c r="AN5" s="116"/>
      <c r="AO5" s="99"/>
      <c r="AP5" s="117" t="s">
        <v>96</v>
      </c>
      <c r="AQ5" s="118" t="s">
        <v>97</v>
      </c>
      <c r="AR5" s="117" t="s">
        <v>98</v>
      </c>
      <c r="AS5" s="119">
        <v>34194.31</v>
      </c>
      <c r="AT5" s="119"/>
      <c r="AU5" s="120" t="str">
        <f>VLOOKUP(I5,DADOS!B:C,2,0)</f>
        <v>#N/A</v>
      </c>
      <c r="AV5" s="121">
        <f t="shared" ref="AV5:AV98" si="7">AE5*2480</f>
        <v>12400</v>
      </c>
      <c r="AW5" s="122"/>
      <c r="AX5" s="122"/>
      <c r="AY5" s="92"/>
      <c r="AZ5" s="123"/>
      <c r="BA5" s="124" t="s">
        <v>99</v>
      </c>
      <c r="BB5" s="125" t="s">
        <v>100</v>
      </c>
      <c r="BC5" s="126"/>
      <c r="BD5" s="126"/>
      <c r="BE5" s="126"/>
      <c r="BF5" s="126"/>
      <c r="BG5" s="127">
        <f t="shared" ref="BG5:BG21" si="8">BD5*BF5</f>
        <v>0</v>
      </c>
      <c r="BH5" s="126"/>
      <c r="BI5" s="126" t="s">
        <v>96</v>
      </c>
      <c r="BJ5" s="128" t="s">
        <v>101</v>
      </c>
      <c r="BK5" s="105" t="s">
        <v>102</v>
      </c>
      <c r="BL5" s="129"/>
      <c r="BM5" s="129"/>
      <c r="BN5" s="36"/>
      <c r="BO5" s="130"/>
      <c r="BP5" s="32"/>
      <c r="BQ5" s="32"/>
      <c r="BR5" s="131"/>
      <c r="BS5" s="32"/>
      <c r="BT5" s="32"/>
    </row>
    <row r="6">
      <c r="A6" s="89">
        <v>9.101791472E9</v>
      </c>
      <c r="B6" s="90" t="s">
        <v>103</v>
      </c>
      <c r="C6" s="91"/>
      <c r="D6" s="91"/>
      <c r="E6" s="92" t="s">
        <v>104</v>
      </c>
      <c r="F6" s="93" t="s">
        <v>90</v>
      </c>
      <c r="G6" s="94"/>
      <c r="H6" s="95"/>
      <c r="I6" s="96"/>
      <c r="J6" s="97" t="str">
        <f>VLOOKUP(I6,DADOS!B:F,5,0)</f>
        <v>#N/A</v>
      </c>
      <c r="K6" s="98"/>
      <c r="L6" s="132" t="s">
        <v>4</v>
      </c>
      <c r="M6" s="99" t="s">
        <v>105</v>
      </c>
      <c r="N6" s="100"/>
      <c r="O6" s="101"/>
      <c r="P6" s="133">
        <v>46070.0</v>
      </c>
      <c r="Q6" s="99" t="s">
        <v>106</v>
      </c>
      <c r="R6" s="100"/>
      <c r="S6" s="104" t="s">
        <v>94</v>
      </c>
      <c r="T6" s="134"/>
      <c r="U6" s="104" t="s">
        <v>93</v>
      </c>
      <c r="V6" s="105" t="s">
        <v>94</v>
      </c>
      <c r="W6" s="106"/>
      <c r="X6" s="104" t="s">
        <v>93</v>
      </c>
      <c r="Y6" s="107"/>
      <c r="Z6" s="108"/>
      <c r="AA6" s="117" t="s">
        <v>107</v>
      </c>
      <c r="AB6" s="135" t="s">
        <v>108</v>
      </c>
      <c r="AC6" s="99">
        <v>1.0</v>
      </c>
      <c r="AD6" s="99"/>
      <c r="AE6" s="99">
        <v>10.0</v>
      </c>
      <c r="AF6" s="111"/>
      <c r="AG6" s="111"/>
      <c r="AH6" s="112">
        <f t="shared" si="5"/>
        <v>10</v>
      </c>
      <c r="AI6" s="113">
        <f t="shared" si="6"/>
        <v>0</v>
      </c>
      <c r="AJ6" s="114">
        <v>1.0</v>
      </c>
      <c r="AK6" s="100"/>
      <c r="AL6" s="100"/>
      <c r="AM6" s="115"/>
      <c r="AN6" s="116"/>
      <c r="AO6" s="99"/>
      <c r="AP6" s="117" t="s">
        <v>109</v>
      </c>
      <c r="AQ6" s="118" t="s">
        <v>110</v>
      </c>
      <c r="AR6" s="117" t="s">
        <v>111</v>
      </c>
      <c r="AS6" s="119">
        <v>73660.25</v>
      </c>
      <c r="AT6" s="119"/>
      <c r="AU6" s="120" t="str">
        <f>VLOOKUP(I6,DADOS!B:C,2,0)</f>
        <v>#N/A</v>
      </c>
      <c r="AV6" s="121">
        <f t="shared" si="7"/>
        <v>24800</v>
      </c>
      <c r="AW6" s="122"/>
      <c r="AX6" s="122"/>
      <c r="AY6" s="92"/>
      <c r="AZ6" s="123"/>
      <c r="BA6" s="124" t="s">
        <v>99</v>
      </c>
      <c r="BB6" s="125" t="s">
        <v>112</v>
      </c>
      <c r="BC6" s="126"/>
      <c r="BD6" s="126"/>
      <c r="BE6" s="126"/>
      <c r="BF6" s="126"/>
      <c r="BG6" s="127">
        <f t="shared" si="8"/>
        <v>0</v>
      </c>
      <c r="BH6" s="126"/>
      <c r="BI6" s="126" t="s">
        <v>109</v>
      </c>
      <c r="BJ6" s="128" t="s">
        <v>113</v>
      </c>
      <c r="BK6" s="136" t="s">
        <v>102</v>
      </c>
      <c r="BL6" s="129"/>
      <c r="BM6" s="129"/>
      <c r="BN6" s="36"/>
      <c r="BO6" s="130"/>
      <c r="BP6" s="32"/>
      <c r="BQ6" s="32"/>
      <c r="BR6" s="131"/>
      <c r="BS6" s="32"/>
      <c r="BT6" s="32"/>
    </row>
    <row r="7">
      <c r="A7" s="89">
        <v>9.102367761E9</v>
      </c>
      <c r="B7" s="90" t="s">
        <v>114</v>
      </c>
      <c r="C7" s="91"/>
      <c r="D7" s="91"/>
      <c r="E7" s="92" t="s">
        <v>115</v>
      </c>
      <c r="F7" s="93" t="s">
        <v>90</v>
      </c>
      <c r="G7" s="94"/>
      <c r="H7" s="95"/>
      <c r="I7" s="96"/>
      <c r="J7" s="97" t="str">
        <f>VLOOKUP(I7,DADOS!B:F,5,0)</f>
        <v>#N/A</v>
      </c>
      <c r="K7" s="98"/>
      <c r="L7" s="132" t="s">
        <v>4</v>
      </c>
      <c r="M7" s="99" t="s">
        <v>105</v>
      </c>
      <c r="N7" s="100"/>
      <c r="O7" s="101"/>
      <c r="P7" s="102">
        <v>46064.0</v>
      </c>
      <c r="Q7" s="103" t="s">
        <v>92</v>
      </c>
      <c r="R7" s="100"/>
      <c r="S7" s="104" t="s">
        <v>94</v>
      </c>
      <c r="T7" s="134"/>
      <c r="U7" s="104" t="s">
        <v>93</v>
      </c>
      <c r="V7" s="137" t="s">
        <v>94</v>
      </c>
      <c r="W7" s="138"/>
      <c r="X7" s="139" t="s">
        <v>93</v>
      </c>
      <c r="Y7" s="107"/>
      <c r="Z7" s="108"/>
      <c r="AA7" s="109"/>
      <c r="AB7" s="110" t="s">
        <v>116</v>
      </c>
      <c r="AC7" s="99">
        <v>1.0</v>
      </c>
      <c r="AD7" s="99"/>
      <c r="AE7" s="99">
        <v>1.0</v>
      </c>
      <c r="AF7" s="111"/>
      <c r="AG7" s="111"/>
      <c r="AH7" s="112">
        <f t="shared" si="5"/>
        <v>1</v>
      </c>
      <c r="AI7" s="113">
        <f t="shared" si="6"/>
        <v>0</v>
      </c>
      <c r="AJ7" s="114">
        <v>1.0</v>
      </c>
      <c r="AK7" s="100"/>
      <c r="AL7" s="100"/>
      <c r="AM7" s="115"/>
      <c r="AN7" s="116"/>
      <c r="AO7" s="99"/>
      <c r="AP7" s="117" t="s">
        <v>117</v>
      </c>
      <c r="AQ7" s="118" t="s">
        <v>118</v>
      </c>
      <c r="AR7" s="117" t="s">
        <v>119</v>
      </c>
      <c r="AS7" s="119">
        <v>9994.23</v>
      </c>
      <c r="AT7" s="119"/>
      <c r="AU7" s="120" t="str">
        <f>VLOOKUP(I7,DADOS!B:C,2,0)</f>
        <v>#N/A</v>
      </c>
      <c r="AV7" s="121">
        <f t="shared" si="7"/>
        <v>2480</v>
      </c>
      <c r="AW7" s="122"/>
      <c r="AX7" s="122"/>
      <c r="AY7" s="92"/>
      <c r="AZ7" s="123"/>
      <c r="BA7" s="124" t="s">
        <v>99</v>
      </c>
      <c r="BB7" s="125" t="s">
        <v>120</v>
      </c>
      <c r="BC7" s="126"/>
      <c r="BD7" s="126"/>
      <c r="BE7" s="126"/>
      <c r="BF7" s="126"/>
      <c r="BG7" s="127">
        <f t="shared" si="8"/>
        <v>0</v>
      </c>
      <c r="BH7" s="126"/>
      <c r="BI7" s="117" t="s">
        <v>117</v>
      </c>
      <c r="BJ7" s="128" t="s">
        <v>121</v>
      </c>
      <c r="BK7" s="104" t="s">
        <v>102</v>
      </c>
      <c r="BL7" s="129"/>
      <c r="BM7" s="129"/>
      <c r="BN7" s="36"/>
      <c r="BO7" s="130"/>
      <c r="BP7" s="32"/>
      <c r="BQ7" s="32"/>
      <c r="BR7" s="131"/>
      <c r="BS7" s="32"/>
      <c r="BT7" s="32"/>
    </row>
    <row r="8">
      <c r="A8" s="140">
        <v>9.102126615E9</v>
      </c>
      <c r="B8" s="141" t="s">
        <v>122</v>
      </c>
      <c r="C8" s="142"/>
      <c r="D8" s="142"/>
      <c r="E8" s="143" t="s">
        <v>123</v>
      </c>
      <c r="F8" s="144" t="s">
        <v>90</v>
      </c>
      <c r="G8" s="145" t="s">
        <v>124</v>
      </c>
      <c r="H8" s="146" t="s">
        <v>125</v>
      </c>
      <c r="I8" s="147"/>
      <c r="J8" s="148" t="str">
        <f>VLOOKUP(I8,DADOS!B:F,5,0)</f>
        <v>#N/A</v>
      </c>
      <c r="K8" s="149"/>
      <c r="L8" s="141" t="s">
        <v>4</v>
      </c>
      <c r="M8" s="141" t="s">
        <v>126</v>
      </c>
      <c r="N8" s="150"/>
      <c r="O8" s="151"/>
      <c r="P8" s="152"/>
      <c r="Q8" s="150"/>
      <c r="R8" s="150"/>
      <c r="S8" s="153"/>
      <c r="T8" s="154"/>
      <c r="U8" s="153"/>
      <c r="V8" s="155"/>
      <c r="W8" s="156"/>
      <c r="X8" s="153"/>
      <c r="Y8" s="157"/>
      <c r="Z8" s="158"/>
      <c r="AA8" s="159"/>
      <c r="AB8" s="160"/>
      <c r="AC8" s="141">
        <v>0.0</v>
      </c>
      <c r="AD8" s="141"/>
      <c r="AE8" s="141">
        <v>12.0</v>
      </c>
      <c r="AF8" s="161"/>
      <c r="AG8" s="161"/>
      <c r="AH8" s="162">
        <f t="shared" si="5"/>
        <v>12</v>
      </c>
      <c r="AI8" s="163">
        <f t="shared" si="6"/>
        <v>0</v>
      </c>
      <c r="AJ8" s="114">
        <v>1.0</v>
      </c>
      <c r="AK8" s="150"/>
      <c r="AL8" s="150"/>
      <c r="AM8" s="164"/>
      <c r="AN8" s="165"/>
      <c r="AO8" s="141"/>
      <c r="AP8" s="166"/>
      <c r="AQ8" s="167"/>
      <c r="AR8" s="166"/>
      <c r="AS8" s="119">
        <v>5210.84</v>
      </c>
      <c r="AT8" s="168"/>
      <c r="AU8" s="169" t="str">
        <f>VLOOKUP(I8,DADOS!B:C,2,0)</f>
        <v>#N/A</v>
      </c>
      <c r="AV8" s="170">
        <f t="shared" si="7"/>
        <v>29760</v>
      </c>
      <c r="AW8" s="171"/>
      <c r="AX8" s="171"/>
      <c r="AY8" s="172"/>
      <c r="AZ8" s="173"/>
      <c r="BA8" s="174"/>
      <c r="BB8" s="175"/>
      <c r="BC8" s="176"/>
      <c r="BD8" s="176"/>
      <c r="BE8" s="176"/>
      <c r="BF8" s="176"/>
      <c r="BG8" s="177">
        <f t="shared" si="8"/>
        <v>0</v>
      </c>
      <c r="BH8" s="176"/>
      <c r="BI8" s="176"/>
      <c r="BJ8" s="178"/>
      <c r="BK8" s="179" t="s">
        <v>102</v>
      </c>
      <c r="BL8" s="180"/>
      <c r="BM8" s="180"/>
      <c r="BN8" s="181"/>
      <c r="BO8" s="130"/>
      <c r="BP8" s="131"/>
      <c r="BQ8" s="131"/>
      <c r="BR8" s="131"/>
      <c r="BS8" s="32"/>
      <c r="BT8" s="32"/>
    </row>
    <row r="9">
      <c r="A9" s="89">
        <v>9.10234457E9</v>
      </c>
      <c r="B9" s="182" t="s">
        <v>127</v>
      </c>
      <c r="C9" s="183" t="s">
        <v>93</v>
      </c>
      <c r="D9" s="183" t="s">
        <v>93</v>
      </c>
      <c r="E9" s="143" t="s">
        <v>128</v>
      </c>
      <c r="F9" s="93" t="s">
        <v>129</v>
      </c>
      <c r="G9" s="94"/>
      <c r="H9" s="184" t="s">
        <v>130</v>
      </c>
      <c r="I9" s="96"/>
      <c r="J9" s="97" t="str">
        <f>VLOOKUP(I9,DADOS!B:F,5,0)</f>
        <v>#N/A</v>
      </c>
      <c r="K9" s="98" t="s">
        <v>131</v>
      </c>
      <c r="L9" s="99" t="s">
        <v>132</v>
      </c>
      <c r="M9" s="99" t="s">
        <v>133</v>
      </c>
      <c r="N9" s="100"/>
      <c r="O9" s="101"/>
      <c r="P9" s="185"/>
      <c r="Q9" s="100"/>
      <c r="R9" s="100"/>
      <c r="S9" s="104" t="s">
        <v>94</v>
      </c>
      <c r="T9" s="134"/>
      <c r="U9" s="104"/>
      <c r="V9" s="105" t="s">
        <v>134</v>
      </c>
      <c r="W9" s="106"/>
      <c r="X9" s="104"/>
      <c r="Y9" s="107"/>
      <c r="Z9" s="108"/>
      <c r="AA9" s="109" t="s">
        <v>135</v>
      </c>
      <c r="AB9" s="110" t="s">
        <v>136</v>
      </c>
      <c r="AC9" s="99">
        <v>0.0</v>
      </c>
      <c r="AD9" s="99">
        <v>0.0</v>
      </c>
      <c r="AE9" s="99">
        <f>59-47</f>
        <v>12</v>
      </c>
      <c r="AF9" s="111"/>
      <c r="AG9" s="111"/>
      <c r="AH9" s="112">
        <f t="shared" si="5"/>
        <v>12</v>
      </c>
      <c r="AI9" s="113">
        <f t="shared" si="6"/>
        <v>0</v>
      </c>
      <c r="AJ9" s="114">
        <v>0.7</v>
      </c>
      <c r="AK9" s="100"/>
      <c r="AL9" s="100"/>
      <c r="AM9" s="115"/>
      <c r="AN9" s="116"/>
      <c r="AO9" s="99"/>
      <c r="AP9" s="117" t="s">
        <v>137</v>
      </c>
      <c r="AQ9" s="118" t="s">
        <v>138</v>
      </c>
      <c r="AR9" s="117" t="s">
        <v>139</v>
      </c>
      <c r="AS9" s="119">
        <v>835606.76</v>
      </c>
      <c r="AT9" s="119"/>
      <c r="AU9" s="120" t="str">
        <f>VLOOKUP(I9,DADOS!B:C,2,0)</f>
        <v>#N/A</v>
      </c>
      <c r="AV9" s="121">
        <f t="shared" si="7"/>
        <v>29760</v>
      </c>
      <c r="AW9" s="122"/>
      <c r="AX9" s="122"/>
      <c r="AY9" s="92"/>
      <c r="AZ9" s="123"/>
      <c r="BA9" s="124" t="s">
        <v>140</v>
      </c>
      <c r="BB9" s="125" t="s">
        <v>141</v>
      </c>
      <c r="BC9" s="126"/>
      <c r="BD9" s="126"/>
      <c r="BE9" s="126"/>
      <c r="BF9" s="126"/>
      <c r="BG9" s="127">
        <f t="shared" si="8"/>
        <v>0</v>
      </c>
      <c r="BH9" s="126"/>
      <c r="BI9" s="117" t="s">
        <v>137</v>
      </c>
      <c r="BJ9" s="128"/>
      <c r="BK9" s="91" t="s">
        <v>102</v>
      </c>
      <c r="BL9" s="129"/>
      <c r="BM9" s="129"/>
      <c r="BN9" s="36"/>
      <c r="BO9" s="130"/>
      <c r="BP9" s="32"/>
      <c r="BQ9" s="32"/>
      <c r="BR9" s="131"/>
      <c r="BS9" s="32"/>
      <c r="BT9" s="32"/>
    </row>
    <row r="10">
      <c r="A10" s="89">
        <v>9.102344571E9</v>
      </c>
      <c r="B10" s="182" t="s">
        <v>142</v>
      </c>
      <c r="C10" s="183" t="s">
        <v>93</v>
      </c>
      <c r="D10" s="183" t="s">
        <v>93</v>
      </c>
      <c r="E10" s="143" t="s">
        <v>143</v>
      </c>
      <c r="F10" s="93" t="s">
        <v>129</v>
      </c>
      <c r="G10" s="94"/>
      <c r="H10" s="186" t="s">
        <v>144</v>
      </c>
      <c r="I10" s="96"/>
      <c r="J10" s="97" t="str">
        <f>VLOOKUP(I10,DADOS!B:F,5,0)</f>
        <v>#N/A</v>
      </c>
      <c r="K10" s="98" t="s">
        <v>131</v>
      </c>
      <c r="L10" s="99" t="s">
        <v>132</v>
      </c>
      <c r="M10" s="99" t="s">
        <v>133</v>
      </c>
      <c r="N10" s="100"/>
      <c r="O10" s="101"/>
      <c r="P10" s="133">
        <v>46063.0</v>
      </c>
      <c r="Q10" s="99" t="s">
        <v>92</v>
      </c>
      <c r="R10" s="100"/>
      <c r="S10" s="104" t="s">
        <v>94</v>
      </c>
      <c r="T10" s="134"/>
      <c r="U10" s="104" t="s">
        <v>93</v>
      </c>
      <c r="V10" s="105" t="s">
        <v>94</v>
      </c>
      <c r="W10" s="106"/>
      <c r="X10" s="104" t="s">
        <v>94</v>
      </c>
      <c r="Y10" s="107"/>
      <c r="Z10" s="108"/>
      <c r="AA10" s="109" t="s">
        <v>135</v>
      </c>
      <c r="AB10" s="110" t="s">
        <v>145</v>
      </c>
      <c r="AC10" s="99">
        <v>0.0</v>
      </c>
      <c r="AD10" s="99">
        <v>0.0</v>
      </c>
      <c r="AE10" s="99">
        <f>107-1</f>
        <v>106</v>
      </c>
      <c r="AF10" s="111"/>
      <c r="AG10" s="111"/>
      <c r="AH10" s="112">
        <f t="shared" si="5"/>
        <v>106</v>
      </c>
      <c r="AI10" s="113">
        <f t="shared" si="6"/>
        <v>0</v>
      </c>
      <c r="AJ10" s="114">
        <v>0.8</v>
      </c>
      <c r="AK10" s="100"/>
      <c r="AL10" s="100"/>
      <c r="AM10" s="115"/>
      <c r="AN10" s="116"/>
      <c r="AO10" s="99"/>
      <c r="AP10" s="117" t="s">
        <v>146</v>
      </c>
      <c r="AQ10" s="118" t="s">
        <v>147</v>
      </c>
      <c r="AR10" s="117" t="s">
        <v>148</v>
      </c>
      <c r="AS10" s="119">
        <v>959254.78</v>
      </c>
      <c r="AT10" s="119"/>
      <c r="AU10" s="120" t="str">
        <f>VLOOKUP(I10,DADOS!B:C,2,0)</f>
        <v>#N/A</v>
      </c>
      <c r="AV10" s="121">
        <f t="shared" si="7"/>
        <v>262880</v>
      </c>
      <c r="AW10" s="122"/>
      <c r="AX10" s="122"/>
      <c r="AY10" s="92"/>
      <c r="AZ10" s="123"/>
      <c r="BA10" s="124" t="s">
        <v>140</v>
      </c>
      <c r="BB10" s="125" t="s">
        <v>149</v>
      </c>
      <c r="BC10" s="126"/>
      <c r="BD10" s="126"/>
      <c r="BE10" s="126"/>
      <c r="BF10" s="126"/>
      <c r="BG10" s="127">
        <f t="shared" si="8"/>
        <v>0</v>
      </c>
      <c r="BH10" s="126"/>
      <c r="BI10" s="126" t="s">
        <v>150</v>
      </c>
      <c r="BJ10" s="128"/>
      <c r="BK10" s="104" t="s">
        <v>102</v>
      </c>
      <c r="BL10" s="129"/>
      <c r="BM10" s="129"/>
      <c r="BN10" s="36"/>
      <c r="BO10" s="130"/>
      <c r="BP10" s="32"/>
      <c r="BQ10" s="32"/>
      <c r="BR10" s="131"/>
      <c r="BS10" s="32"/>
      <c r="BT10" s="32"/>
    </row>
    <row r="11">
      <c r="A11" s="187">
        <v>9.100619322E9</v>
      </c>
      <c r="B11" s="90" t="s">
        <v>151</v>
      </c>
      <c r="C11" s="91"/>
      <c r="D11" s="91"/>
      <c r="E11" s="92" t="s">
        <v>152</v>
      </c>
      <c r="F11" s="93" t="s">
        <v>129</v>
      </c>
      <c r="G11" s="94"/>
      <c r="H11" s="95"/>
      <c r="I11" s="96"/>
      <c r="J11" s="97" t="str">
        <f>VLOOKUP(I11,DADOS!B:F,5,0)</f>
        <v>#N/A</v>
      </c>
      <c r="K11" s="98"/>
      <c r="L11" s="132" t="s">
        <v>4</v>
      </c>
      <c r="M11" s="99" t="s">
        <v>105</v>
      </c>
      <c r="N11" s="100"/>
      <c r="O11" s="101"/>
      <c r="P11" s="102">
        <v>46065.0</v>
      </c>
      <c r="Q11" s="103" t="s">
        <v>92</v>
      </c>
      <c r="R11" s="100"/>
      <c r="S11" s="104" t="s">
        <v>94</v>
      </c>
      <c r="T11" s="134"/>
      <c r="U11" s="104" t="s">
        <v>93</v>
      </c>
      <c r="V11" s="105" t="str">
        <f>X11</f>
        <v>CRIAR</v>
      </c>
      <c r="W11" s="106"/>
      <c r="X11" s="104" t="s">
        <v>94</v>
      </c>
      <c r="Y11" s="107"/>
      <c r="Z11" s="108"/>
      <c r="AA11" s="109"/>
      <c r="AB11" s="110"/>
      <c r="AC11" s="99">
        <v>0.0</v>
      </c>
      <c r="AD11" s="99"/>
      <c r="AE11" s="99">
        <v>1.0</v>
      </c>
      <c r="AF11" s="111"/>
      <c r="AG11" s="111"/>
      <c r="AH11" s="112">
        <f t="shared" si="5"/>
        <v>1</v>
      </c>
      <c r="AI11" s="113">
        <f t="shared" si="6"/>
        <v>0</v>
      </c>
      <c r="AJ11" s="114">
        <v>1.0</v>
      </c>
      <c r="AK11" s="100"/>
      <c r="AL11" s="100"/>
      <c r="AM11" s="115"/>
      <c r="AN11" s="116"/>
      <c r="AO11" s="99"/>
      <c r="AP11" s="117" t="s">
        <v>153</v>
      </c>
      <c r="AQ11" s="118" t="s">
        <v>154</v>
      </c>
      <c r="AR11" s="117" t="s">
        <v>155</v>
      </c>
      <c r="AS11" s="119">
        <v>13857.88</v>
      </c>
      <c r="AT11" s="119"/>
      <c r="AU11" s="120" t="str">
        <f>VLOOKUP(I11,DADOS!B:C,2,0)</f>
        <v>#N/A</v>
      </c>
      <c r="AV11" s="121">
        <f t="shared" si="7"/>
        <v>2480</v>
      </c>
      <c r="AW11" s="122"/>
      <c r="AX11" s="122"/>
      <c r="AY11" s="92"/>
      <c r="AZ11" s="123"/>
      <c r="BA11" s="124" t="s">
        <v>156</v>
      </c>
      <c r="BB11" s="125" t="s">
        <v>157</v>
      </c>
      <c r="BC11" s="126"/>
      <c r="BD11" s="126"/>
      <c r="BE11" s="126"/>
      <c r="BF11" s="126"/>
      <c r="BG11" s="127">
        <f t="shared" si="8"/>
        <v>0</v>
      </c>
      <c r="BH11" s="126"/>
      <c r="BI11" s="117" t="s">
        <v>153</v>
      </c>
      <c r="BJ11" s="128" t="s">
        <v>158</v>
      </c>
      <c r="BK11" s="104" t="s">
        <v>159</v>
      </c>
      <c r="BL11" s="129"/>
      <c r="BM11" s="129"/>
      <c r="BN11" s="36"/>
      <c r="BO11" s="130"/>
      <c r="BP11" s="32"/>
      <c r="BQ11" s="32"/>
      <c r="BR11" s="131"/>
      <c r="BS11" s="131"/>
      <c r="BT11" s="131"/>
    </row>
    <row r="12">
      <c r="A12" s="140">
        <v>9.101196119E9</v>
      </c>
      <c r="B12" s="188" t="s">
        <v>160</v>
      </c>
      <c r="C12" s="142"/>
      <c r="D12" s="142"/>
      <c r="E12" s="172" t="s">
        <v>161</v>
      </c>
      <c r="F12" s="144" t="s">
        <v>129</v>
      </c>
      <c r="G12" s="145" t="s">
        <v>162</v>
      </c>
      <c r="H12" s="146" t="s">
        <v>163</v>
      </c>
      <c r="I12" s="147"/>
      <c r="J12" s="148" t="str">
        <f>VLOOKUP(I12,DADOS!B:F,5,0)</f>
        <v>#N/A</v>
      </c>
      <c r="K12" s="149"/>
      <c r="L12" s="141" t="s">
        <v>11</v>
      </c>
      <c r="M12" s="141" t="s">
        <v>164</v>
      </c>
      <c r="N12" s="150"/>
      <c r="O12" s="151"/>
      <c r="P12" s="152"/>
      <c r="Q12" s="150"/>
      <c r="R12" s="150"/>
      <c r="S12" s="153"/>
      <c r="T12" s="154"/>
      <c r="U12" s="153"/>
      <c r="V12" s="155"/>
      <c r="W12" s="156"/>
      <c r="X12" s="153"/>
      <c r="Y12" s="157"/>
      <c r="Z12" s="158"/>
      <c r="AA12" s="159"/>
      <c r="AB12" s="160"/>
      <c r="AC12" s="141">
        <v>1.0</v>
      </c>
      <c r="AD12" s="141"/>
      <c r="AE12" s="141">
        <v>9.0</v>
      </c>
      <c r="AF12" s="161"/>
      <c r="AG12" s="161"/>
      <c r="AH12" s="162">
        <f t="shared" si="5"/>
        <v>9</v>
      </c>
      <c r="AI12" s="163">
        <f t="shared" si="6"/>
        <v>0</v>
      </c>
      <c r="AJ12" s="189">
        <v>1.0</v>
      </c>
      <c r="AK12" s="150"/>
      <c r="AL12" s="150"/>
      <c r="AM12" s="164"/>
      <c r="AN12" s="165"/>
      <c r="AO12" s="141"/>
      <c r="AP12" s="166"/>
      <c r="AQ12" s="167"/>
      <c r="AR12" s="166"/>
      <c r="AS12" s="119">
        <v>33926.81</v>
      </c>
      <c r="AT12" s="168"/>
      <c r="AU12" s="169" t="str">
        <f>VLOOKUP(I12,DADOS!B:C,2,0)</f>
        <v>#N/A</v>
      </c>
      <c r="AV12" s="170">
        <f t="shared" si="7"/>
        <v>22320</v>
      </c>
      <c r="AW12" s="171"/>
      <c r="AX12" s="171"/>
      <c r="AY12" s="172"/>
      <c r="AZ12" s="173"/>
      <c r="BA12" s="174"/>
      <c r="BB12" s="175"/>
      <c r="BC12" s="176"/>
      <c r="BD12" s="176"/>
      <c r="BE12" s="176"/>
      <c r="BF12" s="176"/>
      <c r="BG12" s="177">
        <f t="shared" si="8"/>
        <v>0</v>
      </c>
      <c r="BH12" s="176"/>
      <c r="BI12" s="176"/>
      <c r="BJ12" s="178"/>
      <c r="BK12" s="179" t="s">
        <v>102</v>
      </c>
      <c r="BL12" s="180"/>
      <c r="BM12" s="180"/>
      <c r="BN12" s="181"/>
      <c r="BO12" s="130"/>
      <c r="BP12" s="131"/>
      <c r="BQ12" s="131"/>
      <c r="BR12" s="131"/>
      <c r="BS12" s="32"/>
      <c r="BT12" s="32"/>
    </row>
    <row r="13">
      <c r="A13" s="140">
        <v>9.101982739E9</v>
      </c>
      <c r="B13" s="188" t="s">
        <v>165</v>
      </c>
      <c r="C13" s="142"/>
      <c r="D13" s="142"/>
      <c r="E13" s="172" t="s">
        <v>166</v>
      </c>
      <c r="F13" s="144" t="s">
        <v>129</v>
      </c>
      <c r="G13" s="145" t="s">
        <v>124</v>
      </c>
      <c r="H13" s="146" t="s">
        <v>167</v>
      </c>
      <c r="I13" s="147"/>
      <c r="J13" s="148" t="str">
        <f>VLOOKUP(I13,DADOS!B:F,5,0)</f>
        <v>#N/A</v>
      </c>
      <c r="K13" s="149"/>
      <c r="L13" s="190" t="s">
        <v>4</v>
      </c>
      <c r="M13" s="141" t="s">
        <v>105</v>
      </c>
      <c r="N13" s="150"/>
      <c r="O13" s="151"/>
      <c r="P13" s="152"/>
      <c r="Q13" s="150"/>
      <c r="R13" s="150"/>
      <c r="S13" s="153" t="s">
        <v>94</v>
      </c>
      <c r="T13" s="154"/>
      <c r="U13" s="153" t="s">
        <v>93</v>
      </c>
      <c r="V13" s="153" t="s">
        <v>94</v>
      </c>
      <c r="W13" s="154"/>
      <c r="X13" s="153" t="s">
        <v>93</v>
      </c>
      <c r="Y13" s="157"/>
      <c r="Z13" s="158"/>
      <c r="AA13" s="159"/>
      <c r="AB13" s="160"/>
      <c r="AC13" s="141">
        <v>4.0</v>
      </c>
      <c r="AD13" s="141"/>
      <c r="AE13" s="141">
        <v>1.0</v>
      </c>
      <c r="AF13" s="161"/>
      <c r="AG13" s="161"/>
      <c r="AH13" s="162">
        <f t="shared" si="5"/>
        <v>1</v>
      </c>
      <c r="AI13" s="163">
        <f t="shared" si="6"/>
        <v>0</v>
      </c>
      <c r="AJ13" s="189">
        <v>1.0</v>
      </c>
      <c r="AK13" s="150"/>
      <c r="AL13" s="150"/>
      <c r="AM13" s="164"/>
      <c r="AN13" s="165"/>
      <c r="AO13" s="141"/>
      <c r="AP13" s="166" t="s">
        <v>168</v>
      </c>
      <c r="AQ13" s="191" t="s">
        <v>169</v>
      </c>
      <c r="AR13" s="166" t="s">
        <v>170</v>
      </c>
      <c r="AS13" s="168">
        <v>20973.08</v>
      </c>
      <c r="AT13" s="168"/>
      <c r="AU13" s="169" t="str">
        <f>VLOOKUP(I13,DADOS!B:C,2,0)</f>
        <v>#N/A</v>
      </c>
      <c r="AV13" s="170">
        <f t="shared" si="7"/>
        <v>2480</v>
      </c>
      <c r="AW13" s="171"/>
      <c r="AX13" s="171"/>
      <c r="AY13" s="172"/>
      <c r="AZ13" s="173"/>
      <c r="BA13" s="174"/>
      <c r="BB13" s="175"/>
      <c r="BC13" s="176"/>
      <c r="BD13" s="176"/>
      <c r="BE13" s="176"/>
      <c r="BF13" s="176"/>
      <c r="BG13" s="177">
        <f t="shared" si="8"/>
        <v>0</v>
      </c>
      <c r="BH13" s="176"/>
      <c r="BI13" s="176"/>
      <c r="BJ13" s="178"/>
      <c r="BK13" s="179" t="s">
        <v>102</v>
      </c>
      <c r="BL13" s="180"/>
      <c r="BM13" s="180"/>
      <c r="BN13" s="181"/>
      <c r="BO13" s="130"/>
      <c r="BP13" s="131"/>
      <c r="BQ13" s="131"/>
      <c r="BR13" s="131"/>
      <c r="BS13" s="131"/>
      <c r="BT13" s="131"/>
    </row>
    <row r="14">
      <c r="A14" s="89">
        <v>9.102140924E9</v>
      </c>
      <c r="B14" s="90" t="s">
        <v>171</v>
      </c>
      <c r="C14" s="91"/>
      <c r="D14" s="91"/>
      <c r="E14" s="92" t="s">
        <v>172</v>
      </c>
      <c r="F14" s="93" t="s">
        <v>129</v>
      </c>
      <c r="G14" s="94"/>
      <c r="H14" s="95" t="s">
        <v>173</v>
      </c>
      <c r="I14" s="96"/>
      <c r="J14" s="97" t="str">
        <f>VLOOKUP(I14,DADOS!B:F,5,0)</f>
        <v>#N/A</v>
      </c>
      <c r="K14" s="98"/>
      <c r="L14" s="132" t="s">
        <v>4</v>
      </c>
      <c r="M14" s="99" t="s">
        <v>105</v>
      </c>
      <c r="N14" s="100"/>
      <c r="O14" s="101"/>
      <c r="P14" s="102">
        <v>46065.0</v>
      </c>
      <c r="Q14" s="103" t="s">
        <v>92</v>
      </c>
      <c r="R14" s="100"/>
      <c r="S14" s="104" t="s">
        <v>93</v>
      </c>
      <c r="T14" s="104" t="s">
        <v>93</v>
      </c>
      <c r="U14" s="104" t="s">
        <v>93</v>
      </c>
      <c r="V14" s="105" t="s">
        <v>94</v>
      </c>
      <c r="W14" s="106"/>
      <c r="X14" s="104" t="s">
        <v>93</v>
      </c>
      <c r="Y14" s="107"/>
      <c r="Z14" s="108"/>
      <c r="AA14" s="109"/>
      <c r="AB14" s="110" t="s">
        <v>174</v>
      </c>
      <c r="AC14" s="99">
        <v>1.0</v>
      </c>
      <c r="AD14" s="99"/>
      <c r="AE14" s="99">
        <v>2.0</v>
      </c>
      <c r="AF14" s="111"/>
      <c r="AG14" s="111"/>
      <c r="AH14" s="112">
        <f t="shared" si="5"/>
        <v>2</v>
      </c>
      <c r="AI14" s="113">
        <f t="shared" si="6"/>
        <v>0</v>
      </c>
      <c r="AJ14" s="114">
        <v>1.0</v>
      </c>
      <c r="AK14" s="100"/>
      <c r="AL14" s="100"/>
      <c r="AM14" s="115"/>
      <c r="AN14" s="116"/>
      <c r="AO14" s="99"/>
      <c r="AP14" s="117" t="s">
        <v>175</v>
      </c>
      <c r="AQ14" s="118" t="s">
        <v>176</v>
      </c>
      <c r="AR14" s="117" t="s">
        <v>177</v>
      </c>
      <c r="AS14" s="119">
        <v>16832.17</v>
      </c>
      <c r="AT14" s="119"/>
      <c r="AU14" s="120" t="str">
        <f>VLOOKUP(I14,DADOS!B:C,2,0)</f>
        <v>#N/A</v>
      </c>
      <c r="AV14" s="121">
        <f t="shared" si="7"/>
        <v>4960</v>
      </c>
      <c r="AW14" s="122"/>
      <c r="AX14" s="122"/>
      <c r="AY14" s="92"/>
      <c r="AZ14" s="123"/>
      <c r="BA14" s="124" t="s">
        <v>178</v>
      </c>
      <c r="BB14" s="125" t="s">
        <v>179</v>
      </c>
      <c r="BC14" s="126"/>
      <c r="BD14" s="126"/>
      <c r="BE14" s="126"/>
      <c r="BF14" s="126"/>
      <c r="BG14" s="127">
        <f t="shared" si="8"/>
        <v>0</v>
      </c>
      <c r="BH14" s="126"/>
      <c r="BI14" s="126" t="s">
        <v>175</v>
      </c>
      <c r="BJ14" s="128" t="s">
        <v>180</v>
      </c>
      <c r="BK14" s="105" t="s">
        <v>102</v>
      </c>
      <c r="BL14" s="129"/>
      <c r="BM14" s="129"/>
      <c r="BN14" s="36"/>
      <c r="BO14" s="130"/>
      <c r="BP14" s="32"/>
      <c r="BQ14" s="32"/>
      <c r="BR14" s="131"/>
      <c r="BS14" s="131"/>
      <c r="BT14" s="131"/>
    </row>
    <row r="15">
      <c r="A15" s="140">
        <v>9.102368609E9</v>
      </c>
      <c r="B15" s="188" t="s">
        <v>181</v>
      </c>
      <c r="C15" s="142"/>
      <c r="D15" s="142"/>
      <c r="E15" s="172" t="s">
        <v>182</v>
      </c>
      <c r="F15" s="144" t="s">
        <v>129</v>
      </c>
      <c r="G15" s="145" t="s">
        <v>124</v>
      </c>
      <c r="H15" s="146" t="s">
        <v>183</v>
      </c>
      <c r="I15" s="147"/>
      <c r="J15" s="148" t="str">
        <f>VLOOKUP(I15,DADOS!B:F,5,0)</f>
        <v>#N/A</v>
      </c>
      <c r="K15" s="149"/>
      <c r="L15" s="190" t="s">
        <v>4</v>
      </c>
      <c r="M15" s="141" t="s">
        <v>184</v>
      </c>
      <c r="N15" s="150"/>
      <c r="O15" s="151"/>
      <c r="P15" s="152"/>
      <c r="Q15" s="150"/>
      <c r="R15" s="150"/>
      <c r="S15" s="153"/>
      <c r="T15" s="154"/>
      <c r="U15" s="153"/>
      <c r="V15" s="155"/>
      <c r="W15" s="156"/>
      <c r="X15" s="153"/>
      <c r="Y15" s="157"/>
      <c r="Z15" s="158"/>
      <c r="AA15" s="159"/>
      <c r="AB15" s="160"/>
      <c r="AC15" s="141">
        <v>10.0</v>
      </c>
      <c r="AD15" s="141"/>
      <c r="AE15" s="141">
        <v>99.0</v>
      </c>
      <c r="AF15" s="161"/>
      <c r="AG15" s="161"/>
      <c r="AH15" s="162">
        <f t="shared" si="5"/>
        <v>99</v>
      </c>
      <c r="AI15" s="163">
        <f t="shared" si="6"/>
        <v>0</v>
      </c>
      <c r="AJ15" s="189">
        <v>0.5</v>
      </c>
      <c r="AK15" s="150"/>
      <c r="AL15" s="150"/>
      <c r="AM15" s="164"/>
      <c r="AN15" s="165"/>
      <c r="AO15" s="141"/>
      <c r="AP15" s="166"/>
      <c r="AQ15" s="167"/>
      <c r="AR15" s="166"/>
      <c r="AS15" s="119">
        <v>730549.03</v>
      </c>
      <c r="AT15" s="168"/>
      <c r="AU15" s="169" t="str">
        <f>VLOOKUP(I15,DADOS!B:C,2,0)</f>
        <v>#N/A</v>
      </c>
      <c r="AV15" s="170">
        <f t="shared" si="7"/>
        <v>245520</v>
      </c>
      <c r="AW15" s="171"/>
      <c r="AX15" s="171"/>
      <c r="AY15" s="172"/>
      <c r="AZ15" s="173"/>
      <c r="BA15" s="174"/>
      <c r="BB15" s="175"/>
      <c r="BC15" s="176"/>
      <c r="BD15" s="176"/>
      <c r="BE15" s="176"/>
      <c r="BF15" s="176"/>
      <c r="BG15" s="177">
        <f t="shared" si="8"/>
        <v>0</v>
      </c>
      <c r="BH15" s="176"/>
      <c r="BI15" s="176"/>
      <c r="BJ15" s="178"/>
      <c r="BK15" s="179" t="s">
        <v>102</v>
      </c>
      <c r="BL15" s="180"/>
      <c r="BM15" s="180"/>
      <c r="BN15" s="181"/>
      <c r="BO15" s="130"/>
      <c r="BP15" s="131"/>
      <c r="BQ15" s="131"/>
      <c r="BR15" s="131"/>
      <c r="BS15" s="32"/>
      <c r="BT15" s="32"/>
    </row>
    <row r="16">
      <c r="A16" s="89">
        <v>9.102361558E9</v>
      </c>
      <c r="B16" s="192" t="s">
        <v>185</v>
      </c>
      <c r="C16" s="91"/>
      <c r="D16" s="91"/>
      <c r="E16" s="92" t="s">
        <v>186</v>
      </c>
      <c r="F16" s="93" t="s">
        <v>129</v>
      </c>
      <c r="G16" s="94"/>
      <c r="H16" s="95"/>
      <c r="I16" s="96"/>
      <c r="J16" s="97" t="str">
        <f>VLOOKUP(I16,DADOS!B:F,5,0)</f>
        <v>#N/A</v>
      </c>
      <c r="K16" s="98"/>
      <c r="L16" s="132" t="s">
        <v>4</v>
      </c>
      <c r="M16" s="99" t="s">
        <v>105</v>
      </c>
      <c r="N16" s="100"/>
      <c r="O16" s="101"/>
      <c r="P16" s="102">
        <v>46065.0</v>
      </c>
      <c r="Q16" s="103" t="s">
        <v>92</v>
      </c>
      <c r="R16" s="100"/>
      <c r="S16" s="104" t="s">
        <v>94</v>
      </c>
      <c r="T16" s="134"/>
      <c r="U16" s="104" t="s">
        <v>94</v>
      </c>
      <c r="V16" s="105" t="s">
        <v>94</v>
      </c>
      <c r="W16" s="106"/>
      <c r="X16" s="104" t="s">
        <v>93</v>
      </c>
      <c r="Y16" s="107"/>
      <c r="Z16" s="108"/>
      <c r="AA16" s="117" t="s">
        <v>187</v>
      </c>
      <c r="AB16" s="110" t="s">
        <v>188</v>
      </c>
      <c r="AC16" s="99">
        <v>1.0</v>
      </c>
      <c r="AD16" s="99"/>
      <c r="AE16" s="99">
        <v>69.0</v>
      </c>
      <c r="AF16" s="111"/>
      <c r="AG16" s="111"/>
      <c r="AH16" s="112">
        <f t="shared" si="5"/>
        <v>69</v>
      </c>
      <c r="AI16" s="113">
        <f t="shared" si="6"/>
        <v>0</v>
      </c>
      <c r="AJ16" s="114">
        <v>1.0</v>
      </c>
      <c r="AK16" s="100"/>
      <c r="AL16" s="100"/>
      <c r="AM16" s="115"/>
      <c r="AN16" s="116"/>
      <c r="AO16" s="99"/>
      <c r="AP16" s="117" t="s">
        <v>189</v>
      </c>
      <c r="AQ16" s="118" t="s">
        <v>190</v>
      </c>
      <c r="AR16" s="117" t="s">
        <v>191</v>
      </c>
      <c r="AS16" s="119">
        <v>327676.8</v>
      </c>
      <c r="AT16" s="119"/>
      <c r="AU16" s="120" t="str">
        <f>VLOOKUP(I16,DADOS!B:C,2,0)</f>
        <v>#N/A</v>
      </c>
      <c r="AV16" s="121">
        <f t="shared" si="7"/>
        <v>171120</v>
      </c>
      <c r="AW16" s="122"/>
      <c r="AX16" s="122"/>
      <c r="AY16" s="92"/>
      <c r="AZ16" s="123"/>
      <c r="BA16" s="124" t="s">
        <v>156</v>
      </c>
      <c r="BB16" s="125" t="s">
        <v>192</v>
      </c>
      <c r="BC16" s="126"/>
      <c r="BD16" s="126"/>
      <c r="BE16" s="126"/>
      <c r="BF16" s="126"/>
      <c r="BG16" s="127">
        <f t="shared" si="8"/>
        <v>0</v>
      </c>
      <c r="BH16" s="126"/>
      <c r="BI16" s="126" t="s">
        <v>193</v>
      </c>
      <c r="BJ16" s="128" t="s">
        <v>194</v>
      </c>
      <c r="BK16" s="104" t="s">
        <v>195</v>
      </c>
      <c r="BL16" s="129"/>
      <c r="BM16" s="129"/>
      <c r="BN16" s="36"/>
      <c r="BO16" s="130"/>
      <c r="BP16" s="32"/>
      <c r="BQ16" s="32"/>
      <c r="BR16" s="131"/>
      <c r="BS16" s="32"/>
      <c r="BT16" s="32"/>
    </row>
    <row r="17">
      <c r="A17" s="89">
        <v>9.101989375E9</v>
      </c>
      <c r="B17" s="99" t="s">
        <v>196</v>
      </c>
      <c r="C17" s="91"/>
      <c r="D17" s="91"/>
      <c r="E17" s="92" t="s">
        <v>197</v>
      </c>
      <c r="F17" s="93" t="s">
        <v>129</v>
      </c>
      <c r="G17" s="94"/>
      <c r="H17" s="101" t="s">
        <v>198</v>
      </c>
      <c r="I17" s="96"/>
      <c r="J17" s="97" t="str">
        <f>VLOOKUP(I17,DADOS!B:F,5,0)</f>
        <v>#N/A</v>
      </c>
      <c r="K17" s="98"/>
      <c r="L17" s="99" t="s">
        <v>199</v>
      </c>
      <c r="M17" s="99" t="s">
        <v>200</v>
      </c>
      <c r="N17" s="100"/>
      <c r="O17" s="101" t="s">
        <v>198</v>
      </c>
      <c r="P17" s="185"/>
      <c r="Q17" s="100"/>
      <c r="R17" s="100"/>
      <c r="S17" s="104"/>
      <c r="T17" s="134"/>
      <c r="U17" s="104"/>
      <c r="V17" s="105"/>
      <c r="W17" s="106"/>
      <c r="X17" s="104"/>
      <c r="Y17" s="107"/>
      <c r="Z17" s="108"/>
      <c r="AA17" s="109" t="s">
        <v>94</v>
      </c>
      <c r="AB17" s="110"/>
      <c r="AC17" s="99">
        <v>0.0</v>
      </c>
      <c r="AD17" s="99"/>
      <c r="AE17" s="99">
        <v>12.0</v>
      </c>
      <c r="AF17" s="111"/>
      <c r="AG17" s="111"/>
      <c r="AH17" s="112">
        <f t="shared" si="5"/>
        <v>12</v>
      </c>
      <c r="AI17" s="113">
        <f t="shared" si="6"/>
        <v>0</v>
      </c>
      <c r="AJ17" s="114">
        <v>1.0</v>
      </c>
      <c r="AK17" s="100"/>
      <c r="AL17" s="100"/>
      <c r="AM17" s="115"/>
      <c r="AN17" s="116"/>
      <c r="AO17" s="99"/>
      <c r="AP17" s="117" t="s">
        <v>201</v>
      </c>
      <c r="AQ17" s="118" t="s">
        <v>202</v>
      </c>
      <c r="AR17" s="117" t="s">
        <v>203</v>
      </c>
      <c r="AS17" s="119">
        <v>136273.14</v>
      </c>
      <c r="AT17" s="119"/>
      <c r="AU17" s="120" t="str">
        <f>VLOOKUP(I17,DADOS!B:C,2,0)</f>
        <v>#N/A</v>
      </c>
      <c r="AV17" s="121">
        <f t="shared" si="7"/>
        <v>29760</v>
      </c>
      <c r="AW17" s="122"/>
      <c r="AX17" s="122"/>
      <c r="AY17" s="92"/>
      <c r="AZ17" s="123"/>
      <c r="BA17" s="124"/>
      <c r="BB17" s="125"/>
      <c r="BC17" s="126"/>
      <c r="BD17" s="126"/>
      <c r="BE17" s="126"/>
      <c r="BF17" s="126"/>
      <c r="BG17" s="127">
        <f t="shared" si="8"/>
        <v>0</v>
      </c>
      <c r="BH17" s="126"/>
      <c r="BI17" s="126"/>
      <c r="BJ17" s="128"/>
      <c r="BK17" s="193" t="s">
        <v>102</v>
      </c>
      <c r="BL17" s="129"/>
      <c r="BM17" s="129"/>
      <c r="BN17" s="36"/>
      <c r="BO17" s="194"/>
      <c r="BP17" s="32"/>
      <c r="BQ17" s="32"/>
      <c r="BR17" s="32"/>
      <c r="BS17" s="32"/>
      <c r="BT17" s="32"/>
    </row>
    <row r="18">
      <c r="A18" s="140">
        <v>9.101088753E9</v>
      </c>
      <c r="B18" s="141" t="s">
        <v>204</v>
      </c>
      <c r="C18" s="142"/>
      <c r="D18" s="142"/>
      <c r="E18" s="172" t="s">
        <v>205</v>
      </c>
      <c r="F18" s="144" t="s">
        <v>129</v>
      </c>
      <c r="G18" s="145" t="s">
        <v>124</v>
      </c>
      <c r="H18" s="146" t="s">
        <v>206</v>
      </c>
      <c r="I18" s="147"/>
      <c r="J18" s="148" t="str">
        <f>VLOOKUP(I18,DADOS!B:F,5,0)</f>
        <v>#N/A</v>
      </c>
      <c r="K18" s="149"/>
      <c r="L18" s="141" t="s">
        <v>4</v>
      </c>
      <c r="M18" s="141" t="s">
        <v>126</v>
      </c>
      <c r="N18" s="150"/>
      <c r="O18" s="151"/>
      <c r="P18" s="152"/>
      <c r="Q18" s="150"/>
      <c r="R18" s="150"/>
      <c r="S18" s="153"/>
      <c r="T18" s="154"/>
      <c r="U18" s="153"/>
      <c r="V18" s="155"/>
      <c r="W18" s="156"/>
      <c r="X18" s="153"/>
      <c r="Y18" s="157"/>
      <c r="Z18" s="158"/>
      <c r="AA18" s="159"/>
      <c r="AB18" s="160"/>
      <c r="AC18" s="141">
        <v>0.0</v>
      </c>
      <c r="AD18" s="141"/>
      <c r="AE18" s="141">
        <v>0.0</v>
      </c>
      <c r="AF18" s="161"/>
      <c r="AG18" s="161"/>
      <c r="AH18" s="162">
        <f t="shared" si="5"/>
        <v>0</v>
      </c>
      <c r="AI18" s="163">
        <f t="shared" si="6"/>
        <v>0</v>
      </c>
      <c r="AJ18" s="189">
        <v>1.0</v>
      </c>
      <c r="AK18" s="150"/>
      <c r="AL18" s="150"/>
      <c r="AM18" s="164"/>
      <c r="AN18" s="165"/>
      <c r="AO18" s="141"/>
      <c r="AP18" s="166"/>
      <c r="AQ18" s="167"/>
      <c r="AR18" s="166"/>
      <c r="AS18" s="168">
        <v>5210.84</v>
      </c>
      <c r="AT18" s="168"/>
      <c r="AU18" s="169" t="str">
        <f>VLOOKUP(I18,DADOS!B:C,2,0)</f>
        <v>#N/A</v>
      </c>
      <c r="AV18" s="170">
        <f t="shared" si="7"/>
        <v>0</v>
      </c>
      <c r="AW18" s="171"/>
      <c r="AX18" s="171"/>
      <c r="AY18" s="172"/>
      <c r="AZ18" s="173"/>
      <c r="BA18" s="174"/>
      <c r="BB18" s="175"/>
      <c r="BC18" s="176"/>
      <c r="BD18" s="176"/>
      <c r="BE18" s="176"/>
      <c r="BF18" s="176"/>
      <c r="BG18" s="177">
        <f t="shared" si="8"/>
        <v>0</v>
      </c>
      <c r="BH18" s="176"/>
      <c r="BI18" s="176"/>
      <c r="BJ18" s="178"/>
      <c r="BK18" s="179" t="s">
        <v>102</v>
      </c>
      <c r="BL18" s="180"/>
      <c r="BM18" s="180"/>
      <c r="BN18" s="181"/>
      <c r="BO18" s="130"/>
      <c r="BP18" s="131"/>
      <c r="BQ18" s="131"/>
      <c r="BR18" s="131"/>
      <c r="BS18" s="131"/>
      <c r="BT18" s="131"/>
    </row>
    <row r="19">
      <c r="A19" s="140">
        <v>9.102146204E9</v>
      </c>
      <c r="B19" s="141" t="s">
        <v>207</v>
      </c>
      <c r="C19" s="142"/>
      <c r="D19" s="142"/>
      <c r="E19" s="143" t="s">
        <v>208</v>
      </c>
      <c r="F19" s="144" t="s">
        <v>129</v>
      </c>
      <c r="G19" s="145" t="s">
        <v>124</v>
      </c>
      <c r="H19" s="146" t="s">
        <v>125</v>
      </c>
      <c r="I19" s="147"/>
      <c r="J19" s="148" t="str">
        <f>VLOOKUP(I19,DADOS!B:F,5,0)</f>
        <v>#N/A</v>
      </c>
      <c r="K19" s="149"/>
      <c r="L19" s="141" t="s">
        <v>4</v>
      </c>
      <c r="M19" s="141" t="s">
        <v>126</v>
      </c>
      <c r="N19" s="150"/>
      <c r="O19" s="151"/>
      <c r="P19" s="152"/>
      <c r="Q19" s="150"/>
      <c r="R19" s="150"/>
      <c r="S19" s="153"/>
      <c r="T19" s="154"/>
      <c r="U19" s="153"/>
      <c r="V19" s="155"/>
      <c r="W19" s="156"/>
      <c r="X19" s="153"/>
      <c r="Y19" s="157"/>
      <c r="Z19" s="158"/>
      <c r="AA19" s="159"/>
      <c r="AB19" s="160"/>
      <c r="AC19" s="141">
        <v>0.0</v>
      </c>
      <c r="AD19" s="141"/>
      <c r="AE19" s="141">
        <v>11.0</v>
      </c>
      <c r="AF19" s="161"/>
      <c r="AG19" s="161"/>
      <c r="AH19" s="162">
        <f t="shared" si="5"/>
        <v>11</v>
      </c>
      <c r="AI19" s="163">
        <f t="shared" si="6"/>
        <v>0</v>
      </c>
      <c r="AJ19" s="114">
        <v>1.0</v>
      </c>
      <c r="AK19" s="150"/>
      <c r="AL19" s="150"/>
      <c r="AM19" s="164"/>
      <c r="AN19" s="165"/>
      <c r="AO19" s="141"/>
      <c r="AP19" s="166"/>
      <c r="AQ19" s="167"/>
      <c r="AR19" s="166"/>
      <c r="AS19" s="119">
        <v>5210.84</v>
      </c>
      <c r="AT19" s="168"/>
      <c r="AU19" s="169" t="str">
        <f>VLOOKUP(I19,DADOS!B:C,2,0)</f>
        <v>#N/A</v>
      </c>
      <c r="AV19" s="170">
        <f t="shared" si="7"/>
        <v>27280</v>
      </c>
      <c r="AW19" s="171"/>
      <c r="AX19" s="171"/>
      <c r="AY19" s="172"/>
      <c r="AZ19" s="173"/>
      <c r="BA19" s="174"/>
      <c r="BB19" s="175"/>
      <c r="BC19" s="176"/>
      <c r="BD19" s="176"/>
      <c r="BE19" s="176"/>
      <c r="BF19" s="176"/>
      <c r="BG19" s="177">
        <f t="shared" si="8"/>
        <v>0</v>
      </c>
      <c r="BH19" s="176"/>
      <c r="BI19" s="176"/>
      <c r="BJ19" s="178"/>
      <c r="BK19" s="179" t="s">
        <v>102</v>
      </c>
      <c r="BL19" s="180"/>
      <c r="BM19" s="180"/>
      <c r="BN19" s="181"/>
      <c r="BO19" s="130"/>
      <c r="BP19" s="131"/>
      <c r="BQ19" s="131"/>
      <c r="BR19" s="131"/>
      <c r="BS19" s="32"/>
      <c r="BT19" s="32"/>
    </row>
    <row r="20">
      <c r="A20" s="140">
        <v>9.101992115E9</v>
      </c>
      <c r="B20" s="188" t="s">
        <v>209</v>
      </c>
      <c r="C20" s="142"/>
      <c r="D20" s="142"/>
      <c r="E20" s="172" t="s">
        <v>210</v>
      </c>
      <c r="F20" s="144" t="s">
        <v>211</v>
      </c>
      <c r="G20" s="145" t="s">
        <v>124</v>
      </c>
      <c r="H20" s="146" t="s">
        <v>212</v>
      </c>
      <c r="I20" s="147"/>
      <c r="J20" s="148" t="str">
        <f>VLOOKUP(I20,DADOS!B:F,5,0)</f>
        <v>#N/A</v>
      </c>
      <c r="K20" s="149"/>
      <c r="L20" s="141" t="s">
        <v>16</v>
      </c>
      <c r="M20" s="141" t="s">
        <v>164</v>
      </c>
      <c r="N20" s="150"/>
      <c r="O20" s="151"/>
      <c r="P20" s="195">
        <v>46063.0</v>
      </c>
      <c r="Q20" s="196" t="s">
        <v>92</v>
      </c>
      <c r="R20" s="150"/>
      <c r="S20" s="153" t="s">
        <v>94</v>
      </c>
      <c r="T20" s="154"/>
      <c r="U20" s="153" t="s">
        <v>93</v>
      </c>
      <c r="V20" s="155" t="s">
        <v>94</v>
      </c>
      <c r="W20" s="156"/>
      <c r="X20" s="153" t="s">
        <v>93</v>
      </c>
      <c r="Y20" s="157"/>
      <c r="Z20" s="158"/>
      <c r="AA20" s="159"/>
      <c r="AB20" s="160"/>
      <c r="AC20" s="141">
        <v>1.0</v>
      </c>
      <c r="AD20" s="141"/>
      <c r="AE20" s="141">
        <v>3.0</v>
      </c>
      <c r="AF20" s="161"/>
      <c r="AG20" s="161"/>
      <c r="AH20" s="162">
        <f t="shared" si="5"/>
        <v>3</v>
      </c>
      <c r="AI20" s="163">
        <f t="shared" si="6"/>
        <v>0</v>
      </c>
      <c r="AJ20" s="189">
        <v>1.0</v>
      </c>
      <c r="AK20" s="150"/>
      <c r="AL20" s="150"/>
      <c r="AM20" s="164"/>
      <c r="AN20" s="165"/>
      <c r="AO20" s="141"/>
      <c r="AP20" s="166" t="s">
        <v>213</v>
      </c>
      <c r="AQ20" s="191" t="s">
        <v>214</v>
      </c>
      <c r="AR20" s="166" t="s">
        <v>215</v>
      </c>
      <c r="AS20" s="168">
        <v>60968.17</v>
      </c>
      <c r="AT20" s="168"/>
      <c r="AU20" s="169" t="str">
        <f>VLOOKUP(I20,DADOS!B:C,2,0)</f>
        <v>#N/A</v>
      </c>
      <c r="AV20" s="170">
        <f t="shared" si="7"/>
        <v>7440</v>
      </c>
      <c r="AW20" s="171"/>
      <c r="AX20" s="171"/>
      <c r="AY20" s="172"/>
      <c r="AZ20" s="173"/>
      <c r="BA20" s="174"/>
      <c r="BB20" s="175"/>
      <c r="BC20" s="176"/>
      <c r="BD20" s="176"/>
      <c r="BE20" s="176"/>
      <c r="BF20" s="176"/>
      <c r="BG20" s="177">
        <f t="shared" si="8"/>
        <v>0</v>
      </c>
      <c r="BH20" s="176"/>
      <c r="BI20" s="166" t="s">
        <v>213</v>
      </c>
      <c r="BJ20" s="178"/>
      <c r="BK20" s="179" t="s">
        <v>102</v>
      </c>
      <c r="BL20" s="180"/>
      <c r="BM20" s="180"/>
      <c r="BN20" s="181"/>
      <c r="BO20" s="130"/>
      <c r="BP20" s="131"/>
      <c r="BQ20" s="131"/>
      <c r="BR20" s="131"/>
      <c r="BS20" s="131"/>
      <c r="BT20" s="131"/>
    </row>
    <row r="21">
      <c r="A21" s="89">
        <v>9.102005076E9</v>
      </c>
      <c r="B21" s="90" t="s">
        <v>216</v>
      </c>
      <c r="C21" s="91"/>
      <c r="D21" s="91"/>
      <c r="E21" s="92" t="s">
        <v>217</v>
      </c>
      <c r="F21" s="93" t="s">
        <v>211</v>
      </c>
      <c r="G21" s="94"/>
      <c r="H21" s="184" t="s">
        <v>218</v>
      </c>
      <c r="I21" s="96"/>
      <c r="J21" s="97" t="str">
        <f>VLOOKUP(I21,DADOS!B:F,5,0)</f>
        <v>#N/A</v>
      </c>
      <c r="K21" s="98"/>
      <c r="L21" s="99"/>
      <c r="M21" s="99" t="s">
        <v>164</v>
      </c>
      <c r="N21" s="100"/>
      <c r="O21" s="101"/>
      <c r="P21" s="185"/>
      <c r="Q21" s="100"/>
      <c r="R21" s="100"/>
      <c r="S21" s="104" t="s">
        <v>94</v>
      </c>
      <c r="T21" s="134"/>
      <c r="U21" s="104"/>
      <c r="V21" s="105" t="s">
        <v>219</v>
      </c>
      <c r="W21" s="106"/>
      <c r="X21" s="104"/>
      <c r="Y21" s="107"/>
      <c r="Z21" s="108"/>
      <c r="AA21" s="109"/>
      <c r="AB21" s="110"/>
      <c r="AC21" s="99">
        <v>0.0</v>
      </c>
      <c r="AD21" s="99"/>
      <c r="AE21" s="99">
        <v>0.0</v>
      </c>
      <c r="AF21" s="111"/>
      <c r="AG21" s="111"/>
      <c r="AH21" s="112">
        <f t="shared" si="5"/>
        <v>0</v>
      </c>
      <c r="AI21" s="113">
        <f t="shared" si="6"/>
        <v>0</v>
      </c>
      <c r="AJ21" s="114">
        <v>1.0</v>
      </c>
      <c r="AK21" s="100"/>
      <c r="AL21" s="100"/>
      <c r="AM21" s="115"/>
      <c r="AN21" s="116"/>
      <c r="AO21" s="99"/>
      <c r="AP21" s="117" t="s">
        <v>220</v>
      </c>
      <c r="AQ21" s="118" t="s">
        <v>221</v>
      </c>
      <c r="AR21" s="117" t="s">
        <v>222</v>
      </c>
      <c r="AS21" s="119">
        <v>99015.22</v>
      </c>
      <c r="AT21" s="119"/>
      <c r="AU21" s="120" t="str">
        <f>VLOOKUP(I21,DADOS!B:C,2,0)</f>
        <v>#N/A</v>
      </c>
      <c r="AV21" s="121">
        <f t="shared" si="7"/>
        <v>0</v>
      </c>
      <c r="AW21" s="122"/>
      <c r="AX21" s="122"/>
      <c r="AY21" s="92"/>
      <c r="AZ21" s="123"/>
      <c r="BA21" s="124"/>
      <c r="BB21" s="125"/>
      <c r="BC21" s="126"/>
      <c r="BD21" s="126"/>
      <c r="BE21" s="126"/>
      <c r="BF21" s="126"/>
      <c r="BG21" s="127">
        <f t="shared" si="8"/>
        <v>0</v>
      </c>
      <c r="BH21" s="126"/>
      <c r="BI21" s="117" t="s">
        <v>220</v>
      </c>
      <c r="BJ21" s="128"/>
      <c r="BK21" s="193" t="s">
        <v>102</v>
      </c>
      <c r="BL21" s="129"/>
      <c r="BM21" s="129"/>
      <c r="BN21" s="36"/>
      <c r="BO21" s="130"/>
      <c r="BP21" s="32"/>
      <c r="BQ21" s="32"/>
      <c r="BR21" s="131"/>
      <c r="BS21" s="32"/>
      <c r="BT21" s="32"/>
    </row>
    <row r="22">
      <c r="A22" s="140">
        <v>9.101893077E9</v>
      </c>
      <c r="B22" s="188" t="s">
        <v>223</v>
      </c>
      <c r="C22" s="142" t="s">
        <v>224</v>
      </c>
      <c r="D22" s="142" t="s">
        <v>225</v>
      </c>
      <c r="E22" s="172" t="s">
        <v>226</v>
      </c>
      <c r="F22" s="144" t="s">
        <v>211</v>
      </c>
      <c r="G22" s="145" t="s">
        <v>124</v>
      </c>
      <c r="H22" s="146" t="s">
        <v>227</v>
      </c>
      <c r="I22" s="147"/>
      <c r="J22" s="148" t="str">
        <f>VLOOKUP(I22,DADOS!B:F,5,0)</f>
        <v>#N/A</v>
      </c>
      <c r="K22" s="149" t="s">
        <v>131</v>
      </c>
      <c r="L22" s="141" t="s">
        <v>16</v>
      </c>
      <c r="M22" s="141" t="s">
        <v>105</v>
      </c>
      <c r="N22" s="150">
        <v>46010.0</v>
      </c>
      <c r="O22" s="151"/>
      <c r="P22" s="197">
        <v>45993.0</v>
      </c>
      <c r="Q22" s="198">
        <v>45993.0</v>
      </c>
      <c r="R22" s="150"/>
      <c r="S22" s="153" t="s">
        <v>94</v>
      </c>
      <c r="T22" s="154"/>
      <c r="U22" s="153" t="s">
        <v>93</v>
      </c>
      <c r="V22" s="153" t="s">
        <v>94</v>
      </c>
      <c r="W22" s="154"/>
      <c r="X22" s="153" t="s">
        <v>93</v>
      </c>
      <c r="Y22" s="157"/>
      <c r="Z22" s="158"/>
      <c r="AA22" s="159"/>
      <c r="AB22" s="160" t="s">
        <v>228</v>
      </c>
      <c r="AC22" s="141">
        <v>1.0</v>
      </c>
      <c r="AD22" s="141"/>
      <c r="AE22" s="141">
        <v>9.0</v>
      </c>
      <c r="AF22" s="161"/>
      <c r="AG22" s="161"/>
      <c r="AH22" s="162">
        <f t="shared" si="5"/>
        <v>9</v>
      </c>
      <c r="AI22" s="163">
        <f t="shared" si="6"/>
        <v>0</v>
      </c>
      <c r="AJ22" s="189">
        <v>1.0</v>
      </c>
      <c r="AK22" s="150"/>
      <c r="AL22" s="150"/>
      <c r="AM22" s="164"/>
      <c r="AN22" s="165"/>
      <c r="AO22" s="141"/>
      <c r="AP22" s="166" t="s">
        <v>229</v>
      </c>
      <c r="AQ22" s="191" t="s">
        <v>230</v>
      </c>
      <c r="AR22" s="166" t="s">
        <v>231</v>
      </c>
      <c r="AS22" s="168">
        <v>36023.21</v>
      </c>
      <c r="AT22" s="168"/>
      <c r="AU22" s="169" t="str">
        <f>VLOOKUP(I22,DADOS!B:C,2,0)</f>
        <v>#N/A</v>
      </c>
      <c r="AV22" s="170">
        <f t="shared" si="7"/>
        <v>22320</v>
      </c>
      <c r="AW22" s="171"/>
      <c r="AX22" s="171"/>
      <c r="AY22" s="172"/>
      <c r="AZ22" s="173"/>
      <c r="BA22" s="174" t="s">
        <v>232</v>
      </c>
      <c r="BB22" s="175" t="s">
        <v>233</v>
      </c>
      <c r="BC22" s="176"/>
      <c r="BD22" s="176"/>
      <c r="BE22" s="176"/>
      <c r="BF22" s="176"/>
      <c r="BG22" s="177">
        <v>0.0</v>
      </c>
      <c r="BH22" s="176"/>
      <c r="BI22" s="166" t="s">
        <v>229</v>
      </c>
      <c r="BJ22" s="178" t="s">
        <v>234</v>
      </c>
      <c r="BK22" s="179" t="s">
        <v>102</v>
      </c>
      <c r="BL22" s="180"/>
      <c r="BM22" s="180"/>
      <c r="BN22" s="181"/>
      <c r="BO22" s="130"/>
      <c r="BP22" s="131"/>
      <c r="BQ22" s="131"/>
      <c r="BR22" s="131"/>
      <c r="BS22" s="131"/>
      <c r="BT22" s="131"/>
    </row>
    <row r="23">
      <c r="A23" s="140">
        <v>9.101866308E9</v>
      </c>
      <c r="B23" s="188" t="s">
        <v>235</v>
      </c>
      <c r="C23" s="142"/>
      <c r="D23" s="142"/>
      <c r="E23" s="172" t="s">
        <v>236</v>
      </c>
      <c r="F23" s="144" t="s">
        <v>211</v>
      </c>
      <c r="G23" s="145" t="s">
        <v>124</v>
      </c>
      <c r="H23" s="146" t="s">
        <v>227</v>
      </c>
      <c r="I23" s="147"/>
      <c r="J23" s="148" t="str">
        <f>VLOOKUP(I23,DADOS!B:F,5,0)</f>
        <v>#N/A</v>
      </c>
      <c r="K23" s="149"/>
      <c r="L23" s="141" t="s">
        <v>16</v>
      </c>
      <c r="M23" s="141" t="s">
        <v>105</v>
      </c>
      <c r="N23" s="150"/>
      <c r="O23" s="151"/>
      <c r="P23" s="195">
        <v>46062.0</v>
      </c>
      <c r="Q23" s="196" t="s">
        <v>92</v>
      </c>
      <c r="R23" s="150"/>
      <c r="S23" s="153" t="s">
        <v>94</v>
      </c>
      <c r="T23" s="154"/>
      <c r="U23" s="153" t="s">
        <v>93</v>
      </c>
      <c r="V23" s="155" t="s">
        <v>94</v>
      </c>
      <c r="W23" s="156"/>
      <c r="X23" s="153" t="s">
        <v>93</v>
      </c>
      <c r="Y23" s="157"/>
      <c r="Z23" s="158"/>
      <c r="AA23" s="159"/>
      <c r="AB23" s="160" t="s">
        <v>237</v>
      </c>
      <c r="AC23" s="141">
        <v>2.0</v>
      </c>
      <c r="AD23" s="141"/>
      <c r="AE23" s="141">
        <v>4.0</v>
      </c>
      <c r="AF23" s="161"/>
      <c r="AG23" s="161"/>
      <c r="AH23" s="162">
        <f t="shared" si="5"/>
        <v>4</v>
      </c>
      <c r="AI23" s="163">
        <f t="shared" si="6"/>
        <v>0</v>
      </c>
      <c r="AJ23" s="189">
        <v>1.0</v>
      </c>
      <c r="AK23" s="150"/>
      <c r="AL23" s="150"/>
      <c r="AM23" s="164"/>
      <c r="AN23" s="165"/>
      <c r="AO23" s="141"/>
      <c r="AP23" s="166" t="s">
        <v>238</v>
      </c>
      <c r="AQ23" s="191" t="s">
        <v>239</v>
      </c>
      <c r="AR23" s="166" t="s">
        <v>240</v>
      </c>
      <c r="AS23" s="168">
        <v>22022.48</v>
      </c>
      <c r="AT23" s="168"/>
      <c r="AU23" s="169" t="str">
        <f>VLOOKUP(I23,DADOS!B:C,2,0)</f>
        <v>#N/A</v>
      </c>
      <c r="AV23" s="170">
        <f t="shared" si="7"/>
        <v>9920</v>
      </c>
      <c r="AW23" s="171"/>
      <c r="AX23" s="171"/>
      <c r="AY23" s="172"/>
      <c r="AZ23" s="173"/>
      <c r="BA23" s="174"/>
      <c r="BB23" s="175"/>
      <c r="BC23" s="176"/>
      <c r="BD23" s="176"/>
      <c r="BE23" s="176"/>
      <c r="BF23" s="176"/>
      <c r="BG23" s="177">
        <f t="shared" ref="BG23:BG98" si="9">BD23*BF23</f>
        <v>0</v>
      </c>
      <c r="BH23" s="176"/>
      <c r="BI23" s="166" t="s">
        <v>238</v>
      </c>
      <c r="BJ23" s="178"/>
      <c r="BK23" s="179" t="s">
        <v>102</v>
      </c>
      <c r="BL23" s="180"/>
      <c r="BM23" s="180"/>
      <c r="BN23" s="181"/>
      <c r="BO23" s="130"/>
      <c r="BP23" s="131"/>
      <c r="BQ23" s="131"/>
      <c r="BR23" s="131"/>
      <c r="BS23" s="131"/>
      <c r="BT23" s="131"/>
    </row>
    <row r="24">
      <c r="A24" s="89">
        <v>9.10172277E9</v>
      </c>
      <c r="B24" s="90" t="s">
        <v>241</v>
      </c>
      <c r="C24" s="91"/>
      <c r="D24" s="91"/>
      <c r="E24" s="92" t="s">
        <v>242</v>
      </c>
      <c r="F24" s="93" t="s">
        <v>211</v>
      </c>
      <c r="G24" s="94"/>
      <c r="H24" s="184" t="s">
        <v>243</v>
      </c>
      <c r="I24" s="96"/>
      <c r="J24" s="97" t="str">
        <f>VLOOKUP(I24,DADOS!B:F,5,0)</f>
        <v>#N/A</v>
      </c>
      <c r="K24" s="98"/>
      <c r="L24" s="99"/>
      <c r="M24" s="99" t="s">
        <v>200</v>
      </c>
      <c r="N24" s="100"/>
      <c r="O24" s="101"/>
      <c r="P24" s="185"/>
      <c r="Q24" s="100"/>
      <c r="R24" s="100"/>
      <c r="S24" s="104" t="s">
        <v>94</v>
      </c>
      <c r="T24" s="134"/>
      <c r="U24" s="104" t="s">
        <v>93</v>
      </c>
      <c r="V24" s="105" t="s">
        <v>219</v>
      </c>
      <c r="W24" s="106"/>
      <c r="X24" s="104" t="s">
        <v>93</v>
      </c>
      <c r="Y24" s="107"/>
      <c r="Z24" s="108"/>
      <c r="AA24" s="109"/>
      <c r="AB24" s="110"/>
      <c r="AC24" s="99">
        <v>0.0</v>
      </c>
      <c r="AD24" s="99"/>
      <c r="AE24" s="99">
        <v>3.0</v>
      </c>
      <c r="AF24" s="111"/>
      <c r="AG24" s="111"/>
      <c r="AH24" s="112">
        <f t="shared" si="5"/>
        <v>3</v>
      </c>
      <c r="AI24" s="113">
        <f t="shared" si="6"/>
        <v>0</v>
      </c>
      <c r="AJ24" s="114">
        <v>0.8</v>
      </c>
      <c r="AK24" s="100"/>
      <c r="AL24" s="100"/>
      <c r="AM24" s="115"/>
      <c r="AN24" s="116"/>
      <c r="AO24" s="99"/>
      <c r="AP24" s="117" t="s">
        <v>244</v>
      </c>
      <c r="AQ24" s="118" t="s">
        <v>245</v>
      </c>
      <c r="AR24" s="117" t="s">
        <v>246</v>
      </c>
      <c r="AS24" s="119">
        <v>659578.14</v>
      </c>
      <c r="AT24" s="119"/>
      <c r="AU24" s="120" t="str">
        <f>VLOOKUP(I24,DADOS!B:C,2,0)</f>
        <v>#N/A</v>
      </c>
      <c r="AV24" s="121">
        <f t="shared" si="7"/>
        <v>7440</v>
      </c>
      <c r="AW24" s="122"/>
      <c r="AX24" s="122"/>
      <c r="AY24" s="92"/>
      <c r="AZ24" s="123"/>
      <c r="BA24" s="124"/>
      <c r="BB24" s="125"/>
      <c r="BC24" s="126"/>
      <c r="BD24" s="126"/>
      <c r="BE24" s="126"/>
      <c r="BF24" s="126"/>
      <c r="BG24" s="127">
        <f t="shared" si="9"/>
        <v>0</v>
      </c>
      <c r="BH24" s="126"/>
      <c r="BI24" s="117" t="s">
        <v>244</v>
      </c>
      <c r="BJ24" s="128"/>
      <c r="BK24" s="193" t="s">
        <v>102</v>
      </c>
      <c r="BL24" s="129"/>
      <c r="BM24" s="129"/>
      <c r="BN24" s="36"/>
      <c r="BO24" s="130"/>
      <c r="BP24" s="32"/>
      <c r="BQ24" s="32"/>
      <c r="BR24" s="131"/>
      <c r="BS24" s="32"/>
      <c r="BT24" s="32"/>
    </row>
    <row r="25">
      <c r="A25" s="89">
        <v>9.102369819E9</v>
      </c>
      <c r="B25" s="90" t="s">
        <v>247</v>
      </c>
      <c r="C25" s="91"/>
      <c r="D25" s="91"/>
      <c r="E25" s="92" t="s">
        <v>248</v>
      </c>
      <c r="F25" s="93" t="s">
        <v>211</v>
      </c>
      <c r="G25" s="94"/>
      <c r="H25" s="95"/>
      <c r="I25" s="96"/>
      <c r="J25" s="97" t="str">
        <f>VLOOKUP(I25,DADOS!B:F,5,0)</f>
        <v>#N/A</v>
      </c>
      <c r="K25" s="98"/>
      <c r="L25" s="132" t="s">
        <v>4</v>
      </c>
      <c r="M25" s="99" t="s">
        <v>105</v>
      </c>
      <c r="N25" s="100"/>
      <c r="O25" s="101"/>
      <c r="P25" s="133">
        <v>46066.0</v>
      </c>
      <c r="Q25" s="99" t="s">
        <v>106</v>
      </c>
      <c r="R25" s="100"/>
      <c r="S25" s="104" t="s">
        <v>94</v>
      </c>
      <c r="T25" s="134"/>
      <c r="U25" s="104" t="s">
        <v>93</v>
      </c>
      <c r="V25" s="104" t="s">
        <v>94</v>
      </c>
      <c r="W25" s="134"/>
      <c r="X25" s="104" t="s">
        <v>93</v>
      </c>
      <c r="Y25" s="107"/>
      <c r="Z25" s="108"/>
      <c r="AA25" s="117" t="s">
        <v>249</v>
      </c>
      <c r="AB25" s="110" t="s">
        <v>250</v>
      </c>
      <c r="AC25" s="99">
        <v>1.0</v>
      </c>
      <c r="AD25" s="99"/>
      <c r="AE25" s="99">
        <v>19.0</v>
      </c>
      <c r="AF25" s="111"/>
      <c r="AG25" s="111"/>
      <c r="AH25" s="112">
        <f t="shared" si="5"/>
        <v>19</v>
      </c>
      <c r="AI25" s="113">
        <f t="shared" si="6"/>
        <v>0</v>
      </c>
      <c r="AJ25" s="114">
        <v>1.0</v>
      </c>
      <c r="AK25" s="100"/>
      <c r="AL25" s="100"/>
      <c r="AM25" s="115"/>
      <c r="AN25" s="116"/>
      <c r="AO25" s="99"/>
      <c r="AP25" s="117" t="s">
        <v>251</v>
      </c>
      <c r="AQ25" s="118" t="s">
        <v>252</v>
      </c>
      <c r="AR25" s="117" t="s">
        <v>253</v>
      </c>
      <c r="AS25" s="119">
        <v>107543.86</v>
      </c>
      <c r="AT25" s="119"/>
      <c r="AU25" s="120" t="str">
        <f>VLOOKUP(I25,DADOS!B:C,2,0)</f>
        <v>#N/A</v>
      </c>
      <c r="AV25" s="121">
        <f t="shared" si="7"/>
        <v>47120</v>
      </c>
      <c r="AW25" s="122"/>
      <c r="AX25" s="122"/>
      <c r="AY25" s="92"/>
      <c r="AZ25" s="123"/>
      <c r="BA25" s="124" t="s">
        <v>254</v>
      </c>
      <c r="BB25" s="125" t="s">
        <v>255</v>
      </c>
      <c r="BC25" s="126"/>
      <c r="BD25" s="126"/>
      <c r="BE25" s="126"/>
      <c r="BF25" s="126"/>
      <c r="BG25" s="127">
        <f t="shared" si="9"/>
        <v>0</v>
      </c>
      <c r="BH25" s="126"/>
      <c r="BI25" s="117" t="s">
        <v>251</v>
      </c>
      <c r="BJ25" s="128" t="s">
        <v>256</v>
      </c>
      <c r="BK25" s="104" t="s">
        <v>257</v>
      </c>
      <c r="BL25" s="129"/>
      <c r="BM25" s="129"/>
      <c r="BN25" s="36"/>
      <c r="BO25" s="130"/>
      <c r="BP25" s="32"/>
      <c r="BQ25" s="32"/>
      <c r="BR25" s="131"/>
      <c r="BS25" s="32"/>
      <c r="BT25" s="32"/>
    </row>
    <row r="26">
      <c r="A26" s="89">
        <v>9.102368366E9</v>
      </c>
      <c r="B26" s="90" t="s">
        <v>258</v>
      </c>
      <c r="C26" s="91"/>
      <c r="D26" s="91"/>
      <c r="E26" s="92" t="s">
        <v>259</v>
      </c>
      <c r="F26" s="93" t="s">
        <v>211</v>
      </c>
      <c r="G26" s="94"/>
      <c r="H26" s="95"/>
      <c r="I26" s="96"/>
      <c r="J26" s="97" t="str">
        <f>VLOOKUP(I26,DADOS!B:F,5,0)</f>
        <v>#N/A</v>
      </c>
      <c r="K26" s="98"/>
      <c r="L26" s="132" t="s">
        <v>4</v>
      </c>
      <c r="M26" s="99" t="s">
        <v>105</v>
      </c>
      <c r="N26" s="100"/>
      <c r="O26" s="101"/>
      <c r="P26" s="133">
        <v>46066.0</v>
      </c>
      <c r="Q26" s="99" t="s">
        <v>106</v>
      </c>
      <c r="R26" s="100"/>
      <c r="S26" s="104" t="s">
        <v>94</v>
      </c>
      <c r="T26" s="134"/>
      <c r="U26" s="104" t="s">
        <v>93</v>
      </c>
      <c r="V26" s="105" t="s">
        <v>94</v>
      </c>
      <c r="W26" s="106"/>
      <c r="X26" s="104" t="s">
        <v>93</v>
      </c>
      <c r="Y26" s="107"/>
      <c r="Z26" s="108"/>
      <c r="AA26" s="109"/>
      <c r="AB26" s="110"/>
      <c r="AC26" s="99">
        <v>1.0</v>
      </c>
      <c r="AD26" s="99"/>
      <c r="AE26" s="99">
        <v>2.0</v>
      </c>
      <c r="AF26" s="111"/>
      <c r="AG26" s="111"/>
      <c r="AH26" s="112">
        <f t="shared" si="5"/>
        <v>2</v>
      </c>
      <c r="AI26" s="113">
        <f t="shared" si="6"/>
        <v>0</v>
      </c>
      <c r="AJ26" s="114">
        <v>1.0</v>
      </c>
      <c r="AK26" s="100"/>
      <c r="AL26" s="100"/>
      <c r="AM26" s="115"/>
      <c r="AN26" s="116"/>
      <c r="AO26" s="99"/>
      <c r="AP26" s="117"/>
      <c r="AQ26" s="199"/>
      <c r="AR26" s="117"/>
      <c r="AS26" s="119">
        <v>27311.96</v>
      </c>
      <c r="AT26" s="119"/>
      <c r="AU26" s="120" t="str">
        <f>VLOOKUP(I26,DADOS!B:C,2,0)</f>
        <v>#N/A</v>
      </c>
      <c r="AV26" s="121">
        <f t="shared" si="7"/>
        <v>4960</v>
      </c>
      <c r="AW26" s="122"/>
      <c r="AX26" s="122"/>
      <c r="AY26" s="92"/>
      <c r="AZ26" s="123"/>
      <c r="BA26" s="124" t="s">
        <v>260</v>
      </c>
      <c r="BB26" s="125" t="s">
        <v>261</v>
      </c>
      <c r="BC26" s="126"/>
      <c r="BD26" s="126"/>
      <c r="BE26" s="126"/>
      <c r="BF26" s="126"/>
      <c r="BG26" s="127">
        <f t="shared" si="9"/>
        <v>0</v>
      </c>
      <c r="BH26" s="126"/>
      <c r="BI26" s="117" t="s">
        <v>262</v>
      </c>
      <c r="BJ26" s="128" t="s">
        <v>263</v>
      </c>
      <c r="BK26" s="104" t="s">
        <v>264</v>
      </c>
      <c r="BL26" s="129"/>
      <c r="BM26" s="129"/>
      <c r="BN26" s="36"/>
      <c r="BO26" s="130"/>
      <c r="BP26" s="32"/>
      <c r="BQ26" s="32"/>
      <c r="BR26" s="131"/>
      <c r="BS26" s="32"/>
      <c r="BT26" s="32"/>
    </row>
    <row r="27">
      <c r="A27" s="89">
        <v>9.102363948E9</v>
      </c>
      <c r="B27" s="99" t="s">
        <v>265</v>
      </c>
      <c r="C27" s="91"/>
      <c r="D27" s="91"/>
      <c r="E27" s="92" t="s">
        <v>266</v>
      </c>
      <c r="F27" s="93" t="s">
        <v>211</v>
      </c>
      <c r="G27" s="94"/>
      <c r="H27" s="95"/>
      <c r="I27" s="96"/>
      <c r="J27" s="97" t="str">
        <f>VLOOKUP(I27,DADOS!B:F,5,0)</f>
        <v>#N/A</v>
      </c>
      <c r="K27" s="98"/>
      <c r="L27" s="99" t="s">
        <v>4</v>
      </c>
      <c r="M27" s="99" t="s">
        <v>105</v>
      </c>
      <c r="N27" s="100"/>
      <c r="O27" s="101"/>
      <c r="P27" s="133">
        <v>46066.0</v>
      </c>
      <c r="Q27" s="99" t="s">
        <v>92</v>
      </c>
      <c r="R27" s="100"/>
      <c r="S27" s="104" t="s">
        <v>94</v>
      </c>
      <c r="T27" s="134"/>
      <c r="U27" s="104" t="s">
        <v>93</v>
      </c>
      <c r="V27" s="104" t="s">
        <v>94</v>
      </c>
      <c r="W27" s="134"/>
      <c r="X27" s="104" t="s">
        <v>93</v>
      </c>
      <c r="Y27" s="107"/>
      <c r="Z27" s="108"/>
      <c r="AA27" s="136" t="s">
        <v>267</v>
      </c>
      <c r="AB27" s="110" t="s">
        <v>268</v>
      </c>
      <c r="AC27" s="99">
        <v>1.0</v>
      </c>
      <c r="AD27" s="99"/>
      <c r="AE27" s="99">
        <v>23.0</v>
      </c>
      <c r="AF27" s="111"/>
      <c r="AG27" s="111"/>
      <c r="AH27" s="112">
        <f t="shared" si="5"/>
        <v>23</v>
      </c>
      <c r="AI27" s="113">
        <f t="shared" si="6"/>
        <v>0</v>
      </c>
      <c r="AJ27" s="114">
        <v>1.0</v>
      </c>
      <c r="AK27" s="100"/>
      <c r="AL27" s="100"/>
      <c r="AM27" s="115"/>
      <c r="AN27" s="116"/>
      <c r="AO27" s="99"/>
      <c r="AP27" s="117" t="s">
        <v>269</v>
      </c>
      <c r="AQ27" s="118" t="s">
        <v>270</v>
      </c>
      <c r="AR27" s="117" t="s">
        <v>271</v>
      </c>
      <c r="AS27" s="119">
        <v>212803.12</v>
      </c>
      <c r="AT27" s="119"/>
      <c r="AU27" s="120" t="str">
        <f>VLOOKUP(I27,DADOS!B:C,2,0)</f>
        <v>#N/A</v>
      </c>
      <c r="AV27" s="121">
        <f t="shared" si="7"/>
        <v>57040</v>
      </c>
      <c r="AW27" s="122"/>
      <c r="AX27" s="122"/>
      <c r="AY27" s="92"/>
      <c r="AZ27" s="123"/>
      <c r="BA27" s="124" t="s">
        <v>254</v>
      </c>
      <c r="BB27" s="125" t="s">
        <v>272</v>
      </c>
      <c r="BC27" s="126"/>
      <c r="BD27" s="126"/>
      <c r="BE27" s="126"/>
      <c r="BF27" s="126"/>
      <c r="BG27" s="126">
        <f t="shared" si="9"/>
        <v>0</v>
      </c>
      <c r="BH27" s="126"/>
      <c r="BI27" s="136" t="s">
        <v>269</v>
      </c>
      <c r="BJ27" s="128" t="s">
        <v>273</v>
      </c>
      <c r="BK27" s="104" t="s">
        <v>274</v>
      </c>
      <c r="BL27" s="129"/>
      <c r="BM27" s="129"/>
      <c r="BN27" s="36"/>
      <c r="BO27" s="130"/>
      <c r="BP27" s="32"/>
      <c r="BQ27" s="32"/>
      <c r="BR27" s="131"/>
      <c r="BS27" s="131"/>
      <c r="BT27" s="131"/>
    </row>
    <row r="28">
      <c r="A28" s="89">
        <v>9.102382526E9</v>
      </c>
      <c r="B28" s="99" t="s">
        <v>275</v>
      </c>
      <c r="C28" s="91"/>
      <c r="D28" s="91"/>
      <c r="E28" s="92" t="s">
        <v>276</v>
      </c>
      <c r="F28" s="93" t="s">
        <v>211</v>
      </c>
      <c r="G28" s="94"/>
      <c r="H28" s="95"/>
      <c r="I28" s="96"/>
      <c r="J28" s="97" t="str">
        <f>VLOOKUP(I28,DADOS!B:F,5,0)</f>
        <v>#N/A</v>
      </c>
      <c r="K28" s="98"/>
      <c r="L28" s="99" t="s">
        <v>4</v>
      </c>
      <c r="M28" s="99" t="s">
        <v>105</v>
      </c>
      <c r="N28" s="100"/>
      <c r="O28" s="101"/>
      <c r="P28" s="102">
        <v>46066.0</v>
      </c>
      <c r="Q28" s="103" t="s">
        <v>92</v>
      </c>
      <c r="R28" s="100"/>
      <c r="S28" s="104" t="s">
        <v>94</v>
      </c>
      <c r="T28" s="134"/>
      <c r="U28" s="104" t="s">
        <v>93</v>
      </c>
      <c r="V28" s="105" t="str">
        <f>X28</f>
        <v>CRIAR</v>
      </c>
      <c r="W28" s="106"/>
      <c r="X28" s="104" t="s">
        <v>94</v>
      </c>
      <c r="Y28" s="107"/>
      <c r="Z28" s="108"/>
      <c r="AA28" s="109"/>
      <c r="AB28" s="110"/>
      <c r="AC28" s="99">
        <v>1.0</v>
      </c>
      <c r="AD28" s="99"/>
      <c r="AE28" s="99">
        <v>0.0</v>
      </c>
      <c r="AF28" s="111"/>
      <c r="AG28" s="111"/>
      <c r="AH28" s="112">
        <f t="shared" si="5"/>
        <v>0</v>
      </c>
      <c r="AI28" s="113">
        <f t="shared" si="6"/>
        <v>0</v>
      </c>
      <c r="AJ28" s="114">
        <v>1.0</v>
      </c>
      <c r="AK28" s="100"/>
      <c r="AL28" s="100"/>
      <c r="AM28" s="115"/>
      <c r="AN28" s="116"/>
      <c r="AO28" s="99"/>
      <c r="AP28" s="117" t="s">
        <v>277</v>
      </c>
      <c r="AQ28" s="118" t="s">
        <v>278</v>
      </c>
      <c r="AR28" s="117" t="s">
        <v>279</v>
      </c>
      <c r="AS28" s="119">
        <v>25596.67</v>
      </c>
      <c r="AT28" s="119"/>
      <c r="AU28" s="120" t="str">
        <f>VLOOKUP(I28,DADOS!B:C,2,0)</f>
        <v>#N/A</v>
      </c>
      <c r="AV28" s="121">
        <f t="shared" si="7"/>
        <v>0</v>
      </c>
      <c r="AW28" s="122"/>
      <c r="AX28" s="122"/>
      <c r="AY28" s="92"/>
      <c r="AZ28" s="123"/>
      <c r="BA28" s="124" t="s">
        <v>260</v>
      </c>
      <c r="BB28" s="125" t="s">
        <v>261</v>
      </c>
      <c r="BC28" s="126"/>
      <c r="BD28" s="126"/>
      <c r="BE28" s="126"/>
      <c r="BF28" s="126"/>
      <c r="BG28" s="127">
        <f t="shared" si="9"/>
        <v>0</v>
      </c>
      <c r="BH28" s="126"/>
      <c r="BI28" s="117" t="s">
        <v>277</v>
      </c>
      <c r="BJ28" s="128" t="s">
        <v>280</v>
      </c>
      <c r="BK28" s="104" t="s">
        <v>94</v>
      </c>
      <c r="BL28" s="129"/>
      <c r="BM28" s="129"/>
      <c r="BN28" s="36"/>
      <c r="BO28" s="130"/>
      <c r="BP28" s="32"/>
      <c r="BQ28" s="32"/>
      <c r="BR28" s="131"/>
      <c r="BS28" s="131"/>
      <c r="BT28" s="131"/>
    </row>
    <row r="29">
      <c r="A29" s="140">
        <v>9.102374555E9</v>
      </c>
      <c r="B29" s="188" t="s">
        <v>281</v>
      </c>
      <c r="C29" s="142"/>
      <c r="D29" s="142"/>
      <c r="E29" s="172" t="s">
        <v>282</v>
      </c>
      <c r="F29" s="144" t="s">
        <v>283</v>
      </c>
      <c r="G29" s="145" t="s">
        <v>124</v>
      </c>
      <c r="H29" s="146" t="s">
        <v>284</v>
      </c>
      <c r="I29" s="147"/>
      <c r="J29" s="148" t="str">
        <f>VLOOKUP(I29,DADOS!B:F,5,0)</f>
        <v>#N/A</v>
      </c>
      <c r="K29" s="149"/>
      <c r="L29" s="190" t="s">
        <v>4</v>
      </c>
      <c r="M29" s="141" t="s">
        <v>285</v>
      </c>
      <c r="N29" s="150"/>
      <c r="O29" s="151"/>
      <c r="P29" s="152"/>
      <c r="Q29" s="150"/>
      <c r="R29" s="150"/>
      <c r="S29" s="153"/>
      <c r="T29" s="154"/>
      <c r="U29" s="153"/>
      <c r="V29" s="155"/>
      <c r="W29" s="156"/>
      <c r="X29" s="153"/>
      <c r="Y29" s="157"/>
      <c r="Z29" s="158"/>
      <c r="AA29" s="159"/>
      <c r="AB29" s="160"/>
      <c r="AC29" s="141">
        <v>0.0</v>
      </c>
      <c r="AD29" s="141"/>
      <c r="AE29" s="141">
        <v>0.0</v>
      </c>
      <c r="AF29" s="161"/>
      <c r="AG29" s="161"/>
      <c r="AH29" s="162">
        <f t="shared" si="5"/>
        <v>0</v>
      </c>
      <c r="AI29" s="163">
        <f t="shared" si="6"/>
        <v>0</v>
      </c>
      <c r="AJ29" s="189">
        <v>0.3</v>
      </c>
      <c r="AK29" s="150"/>
      <c r="AL29" s="150"/>
      <c r="AM29" s="164"/>
      <c r="AN29" s="165"/>
      <c r="AO29" s="141"/>
      <c r="AP29" s="166"/>
      <c r="AQ29" s="167"/>
      <c r="AR29" s="166"/>
      <c r="AS29" s="168">
        <v>4996248.44</v>
      </c>
      <c r="AT29" s="168"/>
      <c r="AU29" s="169" t="str">
        <f>VLOOKUP(I29,DADOS!B:C,2,0)</f>
        <v>#N/A</v>
      </c>
      <c r="AV29" s="170">
        <f t="shared" si="7"/>
        <v>0</v>
      </c>
      <c r="AW29" s="171"/>
      <c r="AX29" s="171"/>
      <c r="AY29" s="172"/>
      <c r="AZ29" s="173"/>
      <c r="BA29" s="174"/>
      <c r="BB29" s="175"/>
      <c r="BC29" s="176"/>
      <c r="BD29" s="176"/>
      <c r="BE29" s="176"/>
      <c r="BF29" s="176"/>
      <c r="BG29" s="177">
        <f t="shared" si="9"/>
        <v>0</v>
      </c>
      <c r="BH29" s="176"/>
      <c r="BI29" s="176"/>
      <c r="BJ29" s="178"/>
      <c r="BK29" s="179" t="s">
        <v>102</v>
      </c>
      <c r="BL29" s="180"/>
      <c r="BM29" s="180"/>
      <c r="BN29" s="181"/>
      <c r="BO29" s="130"/>
      <c r="BP29" s="131"/>
      <c r="BQ29" s="131"/>
      <c r="BR29" s="131"/>
      <c r="BS29" s="131"/>
      <c r="BT29" s="131"/>
    </row>
    <row r="30">
      <c r="A30" s="89">
        <v>9.102378653E9</v>
      </c>
      <c r="B30" s="99" t="s">
        <v>286</v>
      </c>
      <c r="C30" s="91"/>
      <c r="D30" s="91"/>
      <c r="E30" s="92" t="s">
        <v>287</v>
      </c>
      <c r="F30" s="93" t="s">
        <v>283</v>
      </c>
      <c r="G30" s="94"/>
      <c r="H30" s="95"/>
      <c r="I30" s="96"/>
      <c r="J30" s="97" t="str">
        <f>VLOOKUP(I30,DADOS!B:F,5,0)</f>
        <v>#N/A</v>
      </c>
      <c r="K30" s="98"/>
      <c r="L30" s="99" t="s">
        <v>4</v>
      </c>
      <c r="M30" s="99" t="s">
        <v>105</v>
      </c>
      <c r="N30" s="100"/>
      <c r="O30" s="101"/>
      <c r="P30" s="133">
        <v>46066.0</v>
      </c>
      <c r="Q30" s="99" t="s">
        <v>92</v>
      </c>
      <c r="R30" s="100"/>
      <c r="S30" s="104" t="s">
        <v>93</v>
      </c>
      <c r="T30" s="104" t="s">
        <v>93</v>
      </c>
      <c r="U30" s="104" t="s">
        <v>93</v>
      </c>
      <c r="V30" s="105" t="s">
        <v>94</v>
      </c>
      <c r="W30" s="106"/>
      <c r="X30" s="104" t="s">
        <v>93</v>
      </c>
      <c r="Y30" s="107"/>
      <c r="Z30" s="108"/>
      <c r="AA30" s="109"/>
      <c r="AB30" s="110"/>
      <c r="AC30" s="99">
        <v>4.0</v>
      </c>
      <c r="AD30" s="99"/>
      <c r="AE30" s="99">
        <v>2.0</v>
      </c>
      <c r="AF30" s="111"/>
      <c r="AG30" s="111"/>
      <c r="AH30" s="112">
        <f t="shared" si="5"/>
        <v>2</v>
      </c>
      <c r="AI30" s="113">
        <f t="shared" si="6"/>
        <v>0</v>
      </c>
      <c r="AJ30" s="114">
        <v>1.0</v>
      </c>
      <c r="AK30" s="100"/>
      <c r="AL30" s="100"/>
      <c r="AM30" s="115"/>
      <c r="AN30" s="116"/>
      <c r="AO30" s="99"/>
      <c r="AP30" s="117" t="s">
        <v>288</v>
      </c>
      <c r="AQ30" s="118" t="s">
        <v>289</v>
      </c>
      <c r="AR30" s="117" t="s">
        <v>290</v>
      </c>
      <c r="AS30" s="119">
        <v>11763.77</v>
      </c>
      <c r="AT30" s="119"/>
      <c r="AU30" s="120" t="str">
        <f>VLOOKUP(I30,DADOS!B:C,2,0)</f>
        <v>#N/A</v>
      </c>
      <c r="AV30" s="121">
        <f t="shared" si="7"/>
        <v>4960</v>
      </c>
      <c r="AW30" s="122"/>
      <c r="AX30" s="122"/>
      <c r="AY30" s="92"/>
      <c r="AZ30" s="123"/>
      <c r="BA30" s="124" t="s">
        <v>291</v>
      </c>
      <c r="BB30" s="125" t="s">
        <v>292</v>
      </c>
      <c r="BC30" s="126"/>
      <c r="BD30" s="126"/>
      <c r="BE30" s="126"/>
      <c r="BF30" s="126"/>
      <c r="BG30" s="127">
        <f t="shared" si="9"/>
        <v>0</v>
      </c>
      <c r="BH30" s="126"/>
      <c r="BI30" s="117" t="s">
        <v>288</v>
      </c>
      <c r="BJ30" s="128" t="s">
        <v>293</v>
      </c>
      <c r="BK30" s="105" t="s">
        <v>102</v>
      </c>
      <c r="BL30" s="129"/>
      <c r="BM30" s="129"/>
      <c r="BN30" s="36"/>
      <c r="BO30" s="130"/>
      <c r="BP30" s="32"/>
      <c r="BQ30" s="32"/>
      <c r="BR30" s="131"/>
      <c r="BS30" s="32"/>
      <c r="BT30" s="32"/>
    </row>
    <row r="31">
      <c r="A31" s="140">
        <v>9.102042535E9</v>
      </c>
      <c r="B31" s="188" t="s">
        <v>294</v>
      </c>
      <c r="C31" s="142"/>
      <c r="D31" s="142"/>
      <c r="E31" s="172" t="s">
        <v>295</v>
      </c>
      <c r="F31" s="144" t="s">
        <v>296</v>
      </c>
      <c r="G31" s="145" t="s">
        <v>124</v>
      </c>
      <c r="H31" s="146" t="s">
        <v>227</v>
      </c>
      <c r="I31" s="147"/>
      <c r="J31" s="148" t="str">
        <f>VLOOKUP(I31,DADOS!B:F,5,0)</f>
        <v>#N/A</v>
      </c>
      <c r="K31" s="149"/>
      <c r="L31" s="141" t="s">
        <v>16</v>
      </c>
      <c r="M31" s="141" t="s">
        <v>91</v>
      </c>
      <c r="N31" s="150"/>
      <c r="O31" s="151"/>
      <c r="P31" s="152"/>
      <c r="Q31" s="150"/>
      <c r="R31" s="150"/>
      <c r="S31" s="153" t="s">
        <v>94</v>
      </c>
      <c r="T31" s="154"/>
      <c r="U31" s="153" t="s">
        <v>93</v>
      </c>
      <c r="V31" s="153" t="s">
        <v>94</v>
      </c>
      <c r="W31" s="154"/>
      <c r="X31" s="153" t="s">
        <v>93</v>
      </c>
      <c r="Y31" s="157"/>
      <c r="Z31" s="158"/>
      <c r="AA31" s="159" t="s">
        <v>94</v>
      </c>
      <c r="AB31" s="160"/>
      <c r="AC31" s="141">
        <v>2.0</v>
      </c>
      <c r="AD31" s="141"/>
      <c r="AE31" s="141">
        <v>7.0</v>
      </c>
      <c r="AF31" s="161"/>
      <c r="AG31" s="161"/>
      <c r="AH31" s="162">
        <f t="shared" si="5"/>
        <v>7</v>
      </c>
      <c r="AI31" s="163">
        <f t="shared" si="6"/>
        <v>0</v>
      </c>
      <c r="AJ31" s="189">
        <v>1.0</v>
      </c>
      <c r="AK31" s="150"/>
      <c r="AL31" s="150"/>
      <c r="AM31" s="164"/>
      <c r="AN31" s="165"/>
      <c r="AO31" s="141"/>
      <c r="AP31" s="166"/>
      <c r="AQ31" s="167"/>
      <c r="AR31" s="166"/>
      <c r="AS31" s="168">
        <v>50882.07</v>
      </c>
      <c r="AT31" s="168"/>
      <c r="AU31" s="169" t="str">
        <f>VLOOKUP(I31,DADOS!B:C,2,0)</f>
        <v>#N/A</v>
      </c>
      <c r="AV31" s="170">
        <f t="shared" si="7"/>
        <v>17360</v>
      </c>
      <c r="AW31" s="171"/>
      <c r="AX31" s="171"/>
      <c r="AY31" s="172"/>
      <c r="AZ31" s="173"/>
      <c r="BA31" s="174"/>
      <c r="BB31" s="175"/>
      <c r="BC31" s="176"/>
      <c r="BD31" s="176"/>
      <c r="BE31" s="176"/>
      <c r="BF31" s="176"/>
      <c r="BG31" s="177">
        <f t="shared" si="9"/>
        <v>0</v>
      </c>
      <c r="BH31" s="176"/>
      <c r="BI31" s="176"/>
      <c r="BJ31" s="178"/>
      <c r="BK31" s="179" t="s">
        <v>102</v>
      </c>
      <c r="BL31" s="180"/>
      <c r="BM31" s="180"/>
      <c r="BN31" s="181"/>
      <c r="BO31" s="130"/>
      <c r="BP31" s="131"/>
      <c r="BQ31" s="131"/>
      <c r="BR31" s="131"/>
      <c r="BS31" s="131"/>
      <c r="BT31" s="131"/>
    </row>
    <row r="32">
      <c r="A32" s="89">
        <v>9.102036707E9</v>
      </c>
      <c r="B32" s="90" t="s">
        <v>297</v>
      </c>
      <c r="C32" s="91"/>
      <c r="D32" s="91"/>
      <c r="E32" s="92" t="s">
        <v>298</v>
      </c>
      <c r="F32" s="93" t="s">
        <v>296</v>
      </c>
      <c r="G32" s="94"/>
      <c r="H32" s="95"/>
      <c r="I32" s="96"/>
      <c r="J32" s="97" t="str">
        <f>VLOOKUP(I32,DADOS!B:F,5,0)</f>
        <v>#N/A</v>
      </c>
      <c r="K32" s="98"/>
      <c r="L32" s="99" t="s">
        <v>11</v>
      </c>
      <c r="M32" s="99" t="s">
        <v>91</v>
      </c>
      <c r="N32" s="100"/>
      <c r="O32" s="101"/>
      <c r="P32" s="200">
        <v>46065.0</v>
      </c>
      <c r="Q32" s="201" t="s">
        <v>92</v>
      </c>
      <c r="R32" s="100"/>
      <c r="S32" s="104" t="s">
        <v>94</v>
      </c>
      <c r="T32" s="134"/>
      <c r="U32" s="104" t="s">
        <v>93</v>
      </c>
      <c r="V32" s="104" t="s">
        <v>94</v>
      </c>
      <c r="W32" s="134"/>
      <c r="X32" s="104" t="s">
        <v>93</v>
      </c>
      <c r="Y32" s="107"/>
      <c r="Z32" s="108"/>
      <c r="AA32" s="109"/>
      <c r="AB32" s="110" t="s">
        <v>299</v>
      </c>
      <c r="AC32" s="99">
        <v>1.0</v>
      </c>
      <c r="AD32" s="99"/>
      <c r="AE32" s="99">
        <v>3.0</v>
      </c>
      <c r="AF32" s="111"/>
      <c r="AG32" s="111"/>
      <c r="AH32" s="112">
        <f t="shared" si="5"/>
        <v>3</v>
      </c>
      <c r="AI32" s="113">
        <f t="shared" si="6"/>
        <v>0</v>
      </c>
      <c r="AJ32" s="114">
        <v>1.0</v>
      </c>
      <c r="AK32" s="100"/>
      <c r="AL32" s="100"/>
      <c r="AM32" s="115"/>
      <c r="AN32" s="116"/>
      <c r="AO32" s="99"/>
      <c r="AP32" s="117"/>
      <c r="AQ32" s="199"/>
      <c r="AR32" s="117"/>
      <c r="AS32" s="119">
        <v>23944.89</v>
      </c>
      <c r="AT32" s="119"/>
      <c r="AU32" s="120" t="str">
        <f>VLOOKUP(I32,DADOS!B:C,2,0)</f>
        <v>#N/A</v>
      </c>
      <c r="AV32" s="121">
        <f t="shared" si="7"/>
        <v>7440</v>
      </c>
      <c r="AW32" s="122"/>
      <c r="AX32" s="122"/>
      <c r="AY32" s="92"/>
      <c r="AZ32" s="123"/>
      <c r="BA32" s="124" t="s">
        <v>300</v>
      </c>
      <c r="BB32" s="125" t="s">
        <v>301</v>
      </c>
      <c r="BC32" s="126"/>
      <c r="BD32" s="126"/>
      <c r="BE32" s="126"/>
      <c r="BF32" s="126"/>
      <c r="BG32" s="127">
        <f t="shared" si="9"/>
        <v>0</v>
      </c>
      <c r="BH32" s="126"/>
      <c r="BI32" s="126" t="s">
        <v>302</v>
      </c>
      <c r="BJ32" s="128" t="s">
        <v>303</v>
      </c>
      <c r="BK32" s="104" t="s">
        <v>94</v>
      </c>
      <c r="BL32" s="129"/>
      <c r="BM32" s="129"/>
      <c r="BN32" s="36"/>
      <c r="BO32" s="130"/>
      <c r="BP32" s="32"/>
      <c r="BQ32" s="32"/>
      <c r="BR32" s="131"/>
      <c r="BS32" s="32"/>
      <c r="BT32" s="32"/>
    </row>
    <row r="33">
      <c r="A33" s="89">
        <v>9.102332784E9</v>
      </c>
      <c r="B33" s="90" t="s">
        <v>304</v>
      </c>
      <c r="C33" s="91"/>
      <c r="D33" s="91"/>
      <c r="E33" s="92" t="s">
        <v>305</v>
      </c>
      <c r="F33" s="93" t="s">
        <v>296</v>
      </c>
      <c r="G33" s="94"/>
      <c r="H33" s="95"/>
      <c r="I33" s="96"/>
      <c r="J33" s="97" t="str">
        <f>VLOOKUP(I33,DADOS!B:F,5,0)</f>
        <v>#N/A</v>
      </c>
      <c r="K33" s="98"/>
      <c r="L33" s="99" t="s">
        <v>11</v>
      </c>
      <c r="M33" s="99" t="s">
        <v>91</v>
      </c>
      <c r="N33" s="100"/>
      <c r="O33" s="101"/>
      <c r="P33" s="133">
        <v>46066.0</v>
      </c>
      <c r="Q33" s="99" t="s">
        <v>92</v>
      </c>
      <c r="R33" s="100"/>
      <c r="S33" s="104" t="s">
        <v>94</v>
      </c>
      <c r="T33" s="134"/>
      <c r="U33" s="104" t="s">
        <v>94</v>
      </c>
      <c r="V33" s="105" t="str">
        <f>X33</f>
        <v>CRIAR</v>
      </c>
      <c r="W33" s="106"/>
      <c r="X33" s="104" t="s">
        <v>94</v>
      </c>
      <c r="Y33" s="107"/>
      <c r="Z33" s="108"/>
      <c r="AA33" s="136" t="s">
        <v>306</v>
      </c>
      <c r="AB33" s="110" t="s">
        <v>307</v>
      </c>
      <c r="AC33" s="99">
        <v>1.0</v>
      </c>
      <c r="AD33" s="99"/>
      <c r="AE33" s="99">
        <v>10.0</v>
      </c>
      <c r="AF33" s="111"/>
      <c r="AG33" s="111"/>
      <c r="AH33" s="112">
        <f t="shared" si="5"/>
        <v>10</v>
      </c>
      <c r="AI33" s="113">
        <f t="shared" si="6"/>
        <v>0</v>
      </c>
      <c r="AJ33" s="114">
        <v>1.0</v>
      </c>
      <c r="AK33" s="100"/>
      <c r="AL33" s="100"/>
      <c r="AM33" s="115"/>
      <c r="AN33" s="116"/>
      <c r="AO33" s="99"/>
      <c r="AP33" s="117"/>
      <c r="AQ33" s="199"/>
      <c r="AR33" s="117"/>
      <c r="AS33" s="119">
        <v>85055.68</v>
      </c>
      <c r="AT33" s="119"/>
      <c r="AU33" s="120" t="str">
        <f>VLOOKUP(I33,DADOS!B:C,2,0)</f>
        <v>#N/A</v>
      </c>
      <c r="AV33" s="121">
        <f t="shared" si="7"/>
        <v>24800</v>
      </c>
      <c r="AW33" s="122"/>
      <c r="AX33" s="122"/>
      <c r="AY33" s="92"/>
      <c r="AZ33" s="123"/>
      <c r="BA33" s="124" t="s">
        <v>300</v>
      </c>
      <c r="BB33" s="125" t="s">
        <v>308</v>
      </c>
      <c r="BC33" s="126"/>
      <c r="BD33" s="126"/>
      <c r="BE33" s="126"/>
      <c r="BF33" s="126"/>
      <c r="BG33" s="126">
        <f t="shared" si="9"/>
        <v>0</v>
      </c>
      <c r="BH33" s="126"/>
      <c r="BI33" s="126" t="s">
        <v>309</v>
      </c>
      <c r="BJ33" s="128" t="s">
        <v>310</v>
      </c>
      <c r="BK33" s="104" t="s">
        <v>94</v>
      </c>
      <c r="BL33" s="129"/>
      <c r="BM33" s="129"/>
      <c r="BN33" s="36"/>
      <c r="BO33" s="130"/>
      <c r="BP33" s="32"/>
      <c r="BQ33" s="32"/>
      <c r="BR33" s="131"/>
      <c r="BS33" s="32"/>
      <c r="BT33" s="32"/>
    </row>
    <row r="34">
      <c r="A34" s="140">
        <v>9.102295522E9</v>
      </c>
      <c r="B34" s="188" t="s">
        <v>311</v>
      </c>
      <c r="C34" s="142"/>
      <c r="D34" s="142"/>
      <c r="E34" s="172" t="s">
        <v>312</v>
      </c>
      <c r="F34" s="144" t="s">
        <v>296</v>
      </c>
      <c r="G34" s="145" t="s">
        <v>124</v>
      </c>
      <c r="H34" s="146" t="s">
        <v>284</v>
      </c>
      <c r="I34" s="147"/>
      <c r="J34" s="148" t="str">
        <f>VLOOKUP(I34,DADOS!B:F,5,0)</f>
        <v>#N/A</v>
      </c>
      <c r="K34" s="149"/>
      <c r="L34" s="141" t="s">
        <v>11</v>
      </c>
      <c r="M34" s="141" t="s">
        <v>105</v>
      </c>
      <c r="N34" s="150"/>
      <c r="O34" s="151"/>
      <c r="P34" s="152"/>
      <c r="Q34" s="150"/>
      <c r="R34" s="150"/>
      <c r="S34" s="153"/>
      <c r="T34" s="154"/>
      <c r="U34" s="153"/>
      <c r="V34" s="155"/>
      <c r="W34" s="156"/>
      <c r="X34" s="153"/>
      <c r="Y34" s="157"/>
      <c r="Z34" s="158"/>
      <c r="AA34" s="159"/>
      <c r="AB34" s="160"/>
      <c r="AC34" s="141">
        <v>3.0</v>
      </c>
      <c r="AD34" s="141"/>
      <c r="AE34" s="141">
        <v>0.0</v>
      </c>
      <c r="AF34" s="161"/>
      <c r="AG34" s="161"/>
      <c r="AH34" s="162">
        <f t="shared" si="5"/>
        <v>0</v>
      </c>
      <c r="AI34" s="163">
        <f t="shared" si="6"/>
        <v>0</v>
      </c>
      <c r="AJ34" s="189">
        <v>1.0</v>
      </c>
      <c r="AK34" s="150"/>
      <c r="AL34" s="150"/>
      <c r="AM34" s="164"/>
      <c r="AN34" s="165"/>
      <c r="AO34" s="141"/>
      <c r="AP34" s="166"/>
      <c r="AQ34" s="167"/>
      <c r="AR34" s="166"/>
      <c r="AS34" s="119">
        <v>131070.72</v>
      </c>
      <c r="AT34" s="168"/>
      <c r="AU34" s="169" t="str">
        <f>VLOOKUP(I34,DADOS!B:C,2,0)</f>
        <v>#N/A</v>
      </c>
      <c r="AV34" s="170">
        <f t="shared" si="7"/>
        <v>0</v>
      </c>
      <c r="AW34" s="171"/>
      <c r="AX34" s="171"/>
      <c r="AY34" s="172"/>
      <c r="AZ34" s="173"/>
      <c r="BA34" s="174"/>
      <c r="BB34" s="175"/>
      <c r="BC34" s="176"/>
      <c r="BD34" s="176"/>
      <c r="BE34" s="176"/>
      <c r="BF34" s="176"/>
      <c r="BG34" s="177">
        <f t="shared" si="9"/>
        <v>0</v>
      </c>
      <c r="BH34" s="176"/>
      <c r="BI34" s="176"/>
      <c r="BJ34" s="178"/>
      <c r="BK34" s="179" t="s">
        <v>102</v>
      </c>
      <c r="BL34" s="180"/>
      <c r="BM34" s="180"/>
      <c r="BN34" s="181"/>
      <c r="BO34" s="130"/>
      <c r="BP34" s="131"/>
      <c r="BQ34" s="131"/>
      <c r="BR34" s="131"/>
      <c r="BS34" s="32"/>
      <c r="BT34" s="32"/>
    </row>
    <row r="35">
      <c r="A35" s="140">
        <v>9.102364278E9</v>
      </c>
      <c r="B35" s="188" t="s">
        <v>313</v>
      </c>
      <c r="C35" s="142"/>
      <c r="D35" s="142"/>
      <c r="E35" s="172" t="s">
        <v>314</v>
      </c>
      <c r="F35" s="144" t="s">
        <v>296</v>
      </c>
      <c r="G35" s="145" t="s">
        <v>124</v>
      </c>
      <c r="H35" s="146" t="s">
        <v>284</v>
      </c>
      <c r="I35" s="147"/>
      <c r="J35" s="148" t="str">
        <f>VLOOKUP(I35,DADOS!B:F,5,0)</f>
        <v>#N/A</v>
      </c>
      <c r="K35" s="149"/>
      <c r="L35" s="190" t="s">
        <v>4</v>
      </c>
      <c r="M35" s="141" t="s">
        <v>105</v>
      </c>
      <c r="N35" s="150"/>
      <c r="O35" s="151"/>
      <c r="P35" s="152"/>
      <c r="Q35" s="150"/>
      <c r="R35" s="150"/>
      <c r="S35" s="153"/>
      <c r="T35" s="154"/>
      <c r="U35" s="153"/>
      <c r="V35" s="155"/>
      <c r="W35" s="156"/>
      <c r="X35" s="153"/>
      <c r="Y35" s="157"/>
      <c r="Z35" s="158"/>
      <c r="AA35" s="159"/>
      <c r="AB35" s="160"/>
      <c r="AC35" s="141">
        <v>1.0</v>
      </c>
      <c r="AD35" s="141"/>
      <c r="AE35" s="141">
        <v>140.0</v>
      </c>
      <c r="AF35" s="161"/>
      <c r="AG35" s="161"/>
      <c r="AH35" s="162">
        <f t="shared" si="5"/>
        <v>140</v>
      </c>
      <c r="AI35" s="163">
        <f t="shared" si="6"/>
        <v>0</v>
      </c>
      <c r="AJ35" s="189">
        <v>1.0</v>
      </c>
      <c r="AK35" s="150"/>
      <c r="AL35" s="150"/>
      <c r="AM35" s="164"/>
      <c r="AN35" s="165"/>
      <c r="AO35" s="141"/>
      <c r="AP35" s="166"/>
      <c r="AQ35" s="167"/>
      <c r="AR35" s="166"/>
      <c r="AS35" s="119">
        <v>732685.33</v>
      </c>
      <c r="AT35" s="168"/>
      <c r="AU35" s="169" t="str">
        <f>VLOOKUP(I35,DADOS!B:C,2,0)</f>
        <v>#N/A</v>
      </c>
      <c r="AV35" s="170">
        <f t="shared" si="7"/>
        <v>347200</v>
      </c>
      <c r="AW35" s="171"/>
      <c r="AX35" s="171"/>
      <c r="AY35" s="172"/>
      <c r="AZ35" s="173"/>
      <c r="BA35" s="174"/>
      <c r="BB35" s="175"/>
      <c r="BC35" s="176"/>
      <c r="BD35" s="176"/>
      <c r="BE35" s="176"/>
      <c r="BF35" s="176"/>
      <c r="BG35" s="177">
        <f t="shared" si="9"/>
        <v>0</v>
      </c>
      <c r="BH35" s="176"/>
      <c r="BI35" s="176"/>
      <c r="BJ35" s="178"/>
      <c r="BK35" s="179" t="s">
        <v>102</v>
      </c>
      <c r="BL35" s="180"/>
      <c r="BM35" s="180"/>
      <c r="BN35" s="181"/>
      <c r="BO35" s="130"/>
      <c r="BP35" s="131"/>
      <c r="BQ35" s="131"/>
      <c r="BR35" s="131"/>
      <c r="BS35" s="32"/>
      <c r="BT35" s="32"/>
    </row>
    <row r="36">
      <c r="A36" s="89">
        <v>9.102344574E9</v>
      </c>
      <c r="B36" s="99" t="s">
        <v>315</v>
      </c>
      <c r="C36" s="91"/>
      <c r="D36" s="91"/>
      <c r="E36" s="92" t="s">
        <v>316</v>
      </c>
      <c r="F36" s="93" t="s">
        <v>296</v>
      </c>
      <c r="G36" s="94"/>
      <c r="H36" s="184" t="s">
        <v>317</v>
      </c>
      <c r="I36" s="96"/>
      <c r="J36" s="97" t="str">
        <f>VLOOKUP(I36,DADOS!B:F,5,0)</f>
        <v>#N/A</v>
      </c>
      <c r="K36" s="98"/>
      <c r="L36" s="99" t="s">
        <v>318</v>
      </c>
      <c r="M36" s="99" t="s">
        <v>133</v>
      </c>
      <c r="N36" s="100"/>
      <c r="O36" s="101"/>
      <c r="P36" s="185"/>
      <c r="Q36" s="100"/>
      <c r="R36" s="100"/>
      <c r="S36" s="104"/>
      <c r="T36" s="134"/>
      <c r="U36" s="104"/>
      <c r="V36" s="105"/>
      <c r="W36" s="106"/>
      <c r="X36" s="104"/>
      <c r="Y36" s="107"/>
      <c r="Z36" s="108"/>
      <c r="AA36" s="109"/>
      <c r="AB36" s="110"/>
      <c r="AC36" s="99">
        <v>0.0</v>
      </c>
      <c r="AD36" s="99"/>
      <c r="AE36" s="99">
        <v>11.0</v>
      </c>
      <c r="AF36" s="111"/>
      <c r="AG36" s="111"/>
      <c r="AH36" s="112">
        <f t="shared" si="5"/>
        <v>11</v>
      </c>
      <c r="AI36" s="113">
        <f t="shared" si="6"/>
        <v>0</v>
      </c>
      <c r="AJ36" s="114">
        <v>0.7</v>
      </c>
      <c r="AK36" s="100"/>
      <c r="AL36" s="100"/>
      <c r="AM36" s="115"/>
      <c r="AN36" s="116"/>
      <c r="AO36" s="99"/>
      <c r="AP36" s="117" t="s">
        <v>319</v>
      </c>
      <c r="AQ36" s="118" t="s">
        <v>320</v>
      </c>
      <c r="AR36" s="117" t="s">
        <v>321</v>
      </c>
      <c r="AS36" s="119">
        <v>788826.74</v>
      </c>
      <c r="AT36" s="119"/>
      <c r="AU36" s="120" t="str">
        <f>VLOOKUP(I36,DADOS!B:C,2,0)</f>
        <v>#N/A</v>
      </c>
      <c r="AV36" s="121">
        <f t="shared" si="7"/>
        <v>27280</v>
      </c>
      <c r="AW36" s="122"/>
      <c r="AX36" s="122"/>
      <c r="AY36" s="92"/>
      <c r="AZ36" s="123"/>
      <c r="BA36" s="124"/>
      <c r="BB36" s="125"/>
      <c r="BC36" s="126"/>
      <c r="BD36" s="126"/>
      <c r="BE36" s="126"/>
      <c r="BF36" s="126"/>
      <c r="BG36" s="127">
        <f t="shared" si="9"/>
        <v>0</v>
      </c>
      <c r="BH36" s="126"/>
      <c r="BI36" s="117" t="s">
        <v>319</v>
      </c>
      <c r="BJ36" s="128"/>
      <c r="BK36" s="193" t="s">
        <v>102</v>
      </c>
      <c r="BL36" s="129"/>
      <c r="BM36" s="129"/>
      <c r="BN36" s="36"/>
      <c r="BO36" s="194"/>
      <c r="BP36" s="32"/>
      <c r="BQ36" s="32"/>
      <c r="BR36" s="32"/>
      <c r="BS36" s="32"/>
      <c r="BT36" s="32"/>
    </row>
    <row r="37">
      <c r="A37" s="89">
        <v>9.102375704E9</v>
      </c>
      <c r="B37" s="99" t="s">
        <v>322</v>
      </c>
      <c r="C37" s="91"/>
      <c r="D37" s="91"/>
      <c r="E37" s="92" t="s">
        <v>323</v>
      </c>
      <c r="F37" s="93" t="s">
        <v>296</v>
      </c>
      <c r="G37" s="94"/>
      <c r="H37" s="95"/>
      <c r="I37" s="96"/>
      <c r="J37" s="97" t="str">
        <f>VLOOKUP(I37,DADOS!B:F,5,0)</f>
        <v>#N/A</v>
      </c>
      <c r="K37" s="98"/>
      <c r="L37" s="99" t="s">
        <v>4</v>
      </c>
      <c r="M37" s="99" t="s">
        <v>105</v>
      </c>
      <c r="N37" s="100"/>
      <c r="O37" s="101"/>
      <c r="P37" s="185"/>
      <c r="Q37" s="100"/>
      <c r="R37" s="100"/>
      <c r="S37" s="104" t="s">
        <v>94</v>
      </c>
      <c r="T37" s="134"/>
      <c r="U37" s="104" t="s">
        <v>93</v>
      </c>
      <c r="V37" s="105" t="s">
        <v>94</v>
      </c>
      <c r="W37" s="106"/>
      <c r="X37" s="104" t="s">
        <v>93</v>
      </c>
      <c r="Y37" s="107"/>
      <c r="Z37" s="108"/>
      <c r="AA37" s="136" t="s">
        <v>324</v>
      </c>
      <c r="AB37" s="110" t="s">
        <v>325</v>
      </c>
      <c r="AC37" s="99">
        <v>0.0</v>
      </c>
      <c r="AD37" s="99"/>
      <c r="AE37" s="99">
        <v>33.0</v>
      </c>
      <c r="AF37" s="111"/>
      <c r="AG37" s="111"/>
      <c r="AH37" s="112">
        <f t="shared" si="5"/>
        <v>33</v>
      </c>
      <c r="AI37" s="113">
        <f t="shared" si="6"/>
        <v>0</v>
      </c>
      <c r="AJ37" s="114">
        <v>1.0</v>
      </c>
      <c r="AK37" s="100"/>
      <c r="AL37" s="100"/>
      <c r="AM37" s="115"/>
      <c r="AN37" s="116"/>
      <c r="AO37" s="99"/>
      <c r="AP37" s="117" t="s">
        <v>326</v>
      </c>
      <c r="AQ37" s="118" t="s">
        <v>327</v>
      </c>
      <c r="AR37" s="117" t="s">
        <v>328</v>
      </c>
      <c r="AS37" s="119">
        <v>220686.32</v>
      </c>
      <c r="AT37" s="119"/>
      <c r="AU37" s="120" t="str">
        <f>VLOOKUP(I37,DADOS!B:C,2,0)</f>
        <v>#N/A</v>
      </c>
      <c r="AV37" s="121">
        <f t="shared" si="7"/>
        <v>81840</v>
      </c>
      <c r="AW37" s="122"/>
      <c r="AX37" s="122"/>
      <c r="AY37" s="92"/>
      <c r="AZ37" s="123"/>
      <c r="BA37" s="124" t="s">
        <v>300</v>
      </c>
      <c r="BB37" s="125" t="s">
        <v>329</v>
      </c>
      <c r="BC37" s="126"/>
      <c r="BD37" s="126"/>
      <c r="BE37" s="126"/>
      <c r="BF37" s="126"/>
      <c r="BG37" s="126">
        <f t="shared" si="9"/>
        <v>0</v>
      </c>
      <c r="BH37" s="126"/>
      <c r="BI37" s="136" t="s">
        <v>326</v>
      </c>
      <c r="BJ37" s="128" t="s">
        <v>330</v>
      </c>
      <c r="BK37" s="104" t="s">
        <v>94</v>
      </c>
      <c r="BL37" s="129"/>
      <c r="BM37" s="129"/>
      <c r="BN37" s="36"/>
      <c r="BO37" s="130"/>
      <c r="BP37" s="32"/>
      <c r="BQ37" s="32"/>
      <c r="BR37" s="131"/>
      <c r="BS37" s="32"/>
      <c r="BT37" s="32"/>
    </row>
    <row r="38">
      <c r="A38" s="89">
        <v>9.102140198E9</v>
      </c>
      <c r="B38" s="90" t="s">
        <v>331</v>
      </c>
      <c r="C38" s="91"/>
      <c r="D38" s="91"/>
      <c r="E38" s="92" t="s">
        <v>332</v>
      </c>
      <c r="F38" s="93" t="s">
        <v>333</v>
      </c>
      <c r="G38" s="94"/>
      <c r="H38" s="95"/>
      <c r="I38" s="96"/>
      <c r="J38" s="97" t="str">
        <f>VLOOKUP(I38,DADOS!B:F,5,0)</f>
        <v>#N/A</v>
      </c>
      <c r="K38" s="98"/>
      <c r="L38" s="99" t="s">
        <v>16</v>
      </c>
      <c r="M38" s="99" t="s">
        <v>91</v>
      </c>
      <c r="N38" s="100"/>
      <c r="O38" s="101"/>
      <c r="P38" s="185"/>
      <c r="Q38" s="100"/>
      <c r="R38" s="100"/>
      <c r="S38" s="104" t="s">
        <v>93</v>
      </c>
      <c r="T38" s="104" t="s">
        <v>93</v>
      </c>
      <c r="U38" s="104" t="s">
        <v>93</v>
      </c>
      <c r="V38" s="105" t="s">
        <v>94</v>
      </c>
      <c r="W38" s="106"/>
      <c r="X38" s="104" t="s">
        <v>93</v>
      </c>
      <c r="Y38" s="107"/>
      <c r="Z38" s="108"/>
      <c r="AA38" s="109"/>
      <c r="AB38" s="110"/>
      <c r="AC38" s="99">
        <v>1.0</v>
      </c>
      <c r="AD38" s="99"/>
      <c r="AE38" s="99">
        <v>0.0</v>
      </c>
      <c r="AF38" s="111"/>
      <c r="AG38" s="111"/>
      <c r="AH38" s="112">
        <f t="shared" si="5"/>
        <v>0</v>
      </c>
      <c r="AI38" s="113">
        <f t="shared" si="6"/>
        <v>0</v>
      </c>
      <c r="AJ38" s="114">
        <v>1.0</v>
      </c>
      <c r="AK38" s="100"/>
      <c r="AL38" s="100"/>
      <c r="AM38" s="115"/>
      <c r="AN38" s="116"/>
      <c r="AO38" s="99"/>
      <c r="AP38" s="117" t="s">
        <v>334</v>
      </c>
      <c r="AQ38" s="118" t="s">
        <v>335</v>
      </c>
      <c r="AR38" s="117" t="s">
        <v>336</v>
      </c>
      <c r="AS38" s="119">
        <v>6434.97</v>
      </c>
      <c r="AT38" s="119"/>
      <c r="AU38" s="120" t="str">
        <f>VLOOKUP(I38,DADOS!B:C,2,0)</f>
        <v>#N/A</v>
      </c>
      <c r="AV38" s="121">
        <f t="shared" si="7"/>
        <v>0</v>
      </c>
      <c r="AW38" s="122"/>
      <c r="AX38" s="122"/>
      <c r="AY38" s="92"/>
      <c r="AZ38" s="123"/>
      <c r="BA38" s="124" t="s">
        <v>337</v>
      </c>
      <c r="BB38" s="125" t="s">
        <v>338</v>
      </c>
      <c r="BC38" s="126"/>
      <c r="BD38" s="126"/>
      <c r="BE38" s="126"/>
      <c r="BF38" s="126"/>
      <c r="BG38" s="127">
        <f t="shared" si="9"/>
        <v>0</v>
      </c>
      <c r="BH38" s="126"/>
      <c r="BI38" s="117" t="s">
        <v>334</v>
      </c>
      <c r="BJ38" s="128" t="s">
        <v>339</v>
      </c>
      <c r="BK38" s="105" t="s">
        <v>102</v>
      </c>
      <c r="BL38" s="129"/>
      <c r="BM38" s="129"/>
      <c r="BN38" s="36"/>
      <c r="BO38" s="130"/>
      <c r="BP38" s="32"/>
      <c r="BQ38" s="32"/>
      <c r="BR38" s="131"/>
      <c r="BS38" s="32"/>
      <c r="BT38" s="32"/>
    </row>
    <row r="39">
      <c r="A39" s="140">
        <v>9.101828084E9</v>
      </c>
      <c r="B39" s="188" t="s">
        <v>340</v>
      </c>
      <c r="C39" s="142"/>
      <c r="D39" s="142"/>
      <c r="E39" s="202" t="s">
        <v>341</v>
      </c>
      <c r="F39" s="144" t="s">
        <v>333</v>
      </c>
      <c r="G39" s="145" t="s">
        <v>162</v>
      </c>
      <c r="H39" s="146" t="s">
        <v>342</v>
      </c>
      <c r="I39" s="147"/>
      <c r="J39" s="148" t="str">
        <f>VLOOKUP(I39,DADOS!B:F,5,0)</f>
        <v>#N/A</v>
      </c>
      <c r="K39" s="149"/>
      <c r="L39" s="190" t="s">
        <v>4</v>
      </c>
      <c r="M39" s="141" t="s">
        <v>105</v>
      </c>
      <c r="N39" s="150"/>
      <c r="O39" s="151"/>
      <c r="P39" s="152"/>
      <c r="Q39" s="150"/>
      <c r="R39" s="150"/>
      <c r="S39" s="153"/>
      <c r="T39" s="154"/>
      <c r="U39" s="153" t="s">
        <v>93</v>
      </c>
      <c r="V39" s="155" t="str">
        <f t="shared" ref="V39:V41" si="10">X39</f>
        <v/>
      </c>
      <c r="W39" s="156"/>
      <c r="X39" s="153"/>
      <c r="Y39" s="157"/>
      <c r="Z39" s="158"/>
      <c r="AA39" s="159"/>
      <c r="AB39" s="160"/>
      <c r="AC39" s="141">
        <v>1.0</v>
      </c>
      <c r="AD39" s="141"/>
      <c r="AE39" s="141">
        <v>0.0</v>
      </c>
      <c r="AF39" s="161"/>
      <c r="AG39" s="161"/>
      <c r="AH39" s="162">
        <f t="shared" si="5"/>
        <v>0</v>
      </c>
      <c r="AI39" s="163">
        <f t="shared" si="6"/>
        <v>0</v>
      </c>
      <c r="AJ39" s="189">
        <v>1.0</v>
      </c>
      <c r="AK39" s="150"/>
      <c r="AL39" s="150"/>
      <c r="AM39" s="164"/>
      <c r="AN39" s="165"/>
      <c r="AO39" s="141"/>
      <c r="AP39" s="166" t="s">
        <v>343</v>
      </c>
      <c r="AQ39" s="191" t="s">
        <v>344</v>
      </c>
      <c r="AR39" s="166" t="s">
        <v>345</v>
      </c>
      <c r="AS39" s="168">
        <v>16960.43</v>
      </c>
      <c r="AT39" s="168"/>
      <c r="AU39" s="169" t="str">
        <f>VLOOKUP(I39,DADOS!B:C,2,0)</f>
        <v>#N/A</v>
      </c>
      <c r="AV39" s="170">
        <f t="shared" si="7"/>
        <v>0</v>
      </c>
      <c r="AW39" s="171"/>
      <c r="AX39" s="171"/>
      <c r="AY39" s="172"/>
      <c r="AZ39" s="173"/>
      <c r="BA39" s="174"/>
      <c r="BB39" s="175"/>
      <c r="BC39" s="176"/>
      <c r="BD39" s="176"/>
      <c r="BE39" s="176"/>
      <c r="BF39" s="176"/>
      <c r="BG39" s="177">
        <f t="shared" si="9"/>
        <v>0</v>
      </c>
      <c r="BH39" s="176"/>
      <c r="BI39" s="166" t="s">
        <v>343</v>
      </c>
      <c r="BJ39" s="178"/>
      <c r="BK39" s="179" t="s">
        <v>102</v>
      </c>
      <c r="BL39" s="180"/>
      <c r="BM39" s="180"/>
      <c r="BN39" s="181"/>
      <c r="BO39" s="130"/>
      <c r="BP39" s="131"/>
      <c r="BQ39" s="131"/>
      <c r="BR39" s="131"/>
      <c r="BS39" s="131"/>
      <c r="BT39" s="131"/>
    </row>
    <row r="40">
      <c r="A40" s="89">
        <v>9.101877529E9</v>
      </c>
      <c r="B40" s="90" t="s">
        <v>346</v>
      </c>
      <c r="C40" s="91"/>
      <c r="D40" s="91"/>
      <c r="E40" s="92" t="s">
        <v>347</v>
      </c>
      <c r="F40" s="93" t="s">
        <v>333</v>
      </c>
      <c r="G40" s="94"/>
      <c r="H40" s="95" t="s">
        <v>348</v>
      </c>
      <c r="I40" s="96"/>
      <c r="J40" s="97" t="str">
        <f>VLOOKUP(I40,DADOS!B:F,5,0)</f>
        <v>#N/A</v>
      </c>
      <c r="K40" s="98"/>
      <c r="L40" s="132" t="s">
        <v>4</v>
      </c>
      <c r="M40" s="99" t="s">
        <v>105</v>
      </c>
      <c r="N40" s="100"/>
      <c r="O40" s="101"/>
      <c r="P40" s="185"/>
      <c r="Q40" s="100"/>
      <c r="R40" s="100"/>
      <c r="S40" s="104" t="s">
        <v>94</v>
      </c>
      <c r="T40" s="134"/>
      <c r="U40" s="104" t="s">
        <v>93</v>
      </c>
      <c r="V40" s="105" t="str">
        <f t="shared" si="10"/>
        <v>CRIAR</v>
      </c>
      <c r="W40" s="106"/>
      <c r="X40" s="104" t="s">
        <v>94</v>
      </c>
      <c r="Y40" s="107"/>
      <c r="Z40" s="108"/>
      <c r="AA40" s="109"/>
      <c r="AB40" s="110"/>
      <c r="AC40" s="99">
        <v>1.0</v>
      </c>
      <c r="AD40" s="99"/>
      <c r="AE40" s="99">
        <v>0.0</v>
      </c>
      <c r="AF40" s="111"/>
      <c r="AG40" s="111"/>
      <c r="AH40" s="112">
        <f t="shared" si="5"/>
        <v>0</v>
      </c>
      <c r="AI40" s="113">
        <f t="shared" si="6"/>
        <v>0</v>
      </c>
      <c r="AJ40" s="114">
        <v>1.0</v>
      </c>
      <c r="AK40" s="100"/>
      <c r="AL40" s="100"/>
      <c r="AM40" s="115"/>
      <c r="AN40" s="116"/>
      <c r="AO40" s="99"/>
      <c r="AP40" s="117" t="s">
        <v>349</v>
      </c>
      <c r="AQ40" s="118" t="s">
        <v>350</v>
      </c>
      <c r="AR40" s="117" t="s">
        <v>351</v>
      </c>
      <c r="AS40" s="119">
        <v>17303.96</v>
      </c>
      <c r="AT40" s="119"/>
      <c r="AU40" s="120" t="str">
        <f>VLOOKUP(I40,DADOS!B:C,2,0)</f>
        <v>#N/A</v>
      </c>
      <c r="AV40" s="121">
        <f t="shared" si="7"/>
        <v>0</v>
      </c>
      <c r="AW40" s="122"/>
      <c r="AX40" s="122"/>
      <c r="AY40" s="92"/>
      <c r="AZ40" s="123"/>
      <c r="BA40" s="124" t="s">
        <v>352</v>
      </c>
      <c r="BB40" s="125" t="s">
        <v>353</v>
      </c>
      <c r="BC40" s="126"/>
      <c r="BD40" s="126"/>
      <c r="BE40" s="126"/>
      <c r="BF40" s="126"/>
      <c r="BG40" s="127">
        <f t="shared" si="9"/>
        <v>0</v>
      </c>
      <c r="BH40" s="126"/>
      <c r="BI40" s="117" t="s">
        <v>349</v>
      </c>
      <c r="BJ40" s="128" t="s">
        <v>354</v>
      </c>
      <c r="BK40" s="104" t="s">
        <v>94</v>
      </c>
      <c r="BL40" s="129"/>
      <c r="BM40" s="129"/>
      <c r="BN40" s="36"/>
      <c r="BO40" s="130"/>
      <c r="BP40" s="32"/>
      <c r="BQ40" s="32"/>
      <c r="BR40" s="131"/>
      <c r="BS40" s="32"/>
      <c r="BT40" s="32"/>
    </row>
    <row r="41">
      <c r="A41" s="89">
        <v>9.102352247E9</v>
      </c>
      <c r="B41" s="90" t="s">
        <v>355</v>
      </c>
      <c r="C41" s="91"/>
      <c r="D41" s="91"/>
      <c r="E41" s="92" t="s">
        <v>356</v>
      </c>
      <c r="F41" s="93" t="s">
        <v>333</v>
      </c>
      <c r="G41" s="94"/>
      <c r="H41" s="184" t="s">
        <v>357</v>
      </c>
      <c r="I41" s="96"/>
      <c r="J41" s="97" t="str">
        <f>VLOOKUP(I41,DADOS!B:F,5,0)</f>
        <v>#N/A</v>
      </c>
      <c r="K41" s="98"/>
      <c r="L41" s="132" t="s">
        <v>4</v>
      </c>
      <c r="M41" s="99" t="s">
        <v>105</v>
      </c>
      <c r="N41" s="100"/>
      <c r="O41" s="101"/>
      <c r="P41" s="185"/>
      <c r="Q41" s="100"/>
      <c r="R41" s="100"/>
      <c r="S41" s="104" t="s">
        <v>94</v>
      </c>
      <c r="T41" s="134"/>
      <c r="U41" s="104" t="s">
        <v>94</v>
      </c>
      <c r="V41" s="105" t="str">
        <f t="shared" si="10"/>
        <v>CRIAR</v>
      </c>
      <c r="W41" s="106"/>
      <c r="X41" s="104" t="s">
        <v>94</v>
      </c>
      <c r="Y41" s="107"/>
      <c r="Z41" s="108"/>
      <c r="AA41" s="136" t="s">
        <v>358</v>
      </c>
      <c r="AB41" s="110" t="s">
        <v>359</v>
      </c>
      <c r="AC41" s="99">
        <v>1.0</v>
      </c>
      <c r="AD41" s="99"/>
      <c r="AE41" s="99">
        <v>6.0</v>
      </c>
      <c r="AF41" s="111"/>
      <c r="AG41" s="111"/>
      <c r="AH41" s="112">
        <f t="shared" si="5"/>
        <v>6</v>
      </c>
      <c r="AI41" s="113">
        <f t="shared" si="6"/>
        <v>0</v>
      </c>
      <c r="AJ41" s="114">
        <v>1.0</v>
      </c>
      <c r="AK41" s="100"/>
      <c r="AL41" s="100"/>
      <c r="AM41" s="115"/>
      <c r="AN41" s="116"/>
      <c r="AO41" s="99"/>
      <c r="AP41" s="117" t="s">
        <v>360</v>
      </c>
      <c r="AQ41" s="118" t="s">
        <v>361</v>
      </c>
      <c r="AR41" s="117" t="s">
        <v>362</v>
      </c>
      <c r="AS41" s="119">
        <v>180316.81</v>
      </c>
      <c r="AT41" s="119"/>
      <c r="AU41" s="120" t="str">
        <f>VLOOKUP(I41,DADOS!B:C,2,0)</f>
        <v>#N/A</v>
      </c>
      <c r="AV41" s="121">
        <f t="shared" si="7"/>
        <v>14880</v>
      </c>
      <c r="AW41" s="122"/>
      <c r="AX41" s="122"/>
      <c r="AY41" s="92"/>
      <c r="AZ41" s="123"/>
      <c r="BA41" s="124" t="s">
        <v>337</v>
      </c>
      <c r="BB41" s="125" t="s">
        <v>363</v>
      </c>
      <c r="BC41" s="126"/>
      <c r="BD41" s="126"/>
      <c r="BE41" s="126"/>
      <c r="BF41" s="126"/>
      <c r="BG41" s="126">
        <f t="shared" si="9"/>
        <v>0</v>
      </c>
      <c r="BH41" s="126"/>
      <c r="BI41" s="136" t="s">
        <v>360</v>
      </c>
      <c r="BJ41" s="128" t="s">
        <v>364</v>
      </c>
      <c r="BK41" s="104" t="s">
        <v>94</v>
      </c>
      <c r="BL41" s="129"/>
      <c r="BM41" s="129"/>
      <c r="BN41" s="36"/>
      <c r="BO41" s="130"/>
      <c r="BP41" s="32"/>
      <c r="BQ41" s="32"/>
      <c r="BR41" s="131"/>
      <c r="BS41" s="32"/>
      <c r="BT41" s="32"/>
    </row>
    <row r="42">
      <c r="A42" s="89">
        <v>9.102380049E9</v>
      </c>
      <c r="B42" s="90" t="s">
        <v>365</v>
      </c>
      <c r="C42" s="91"/>
      <c r="D42" s="91"/>
      <c r="E42" s="92" t="s">
        <v>366</v>
      </c>
      <c r="F42" s="93" t="s">
        <v>333</v>
      </c>
      <c r="G42" s="94"/>
      <c r="H42" s="95"/>
      <c r="I42" s="96"/>
      <c r="J42" s="97" t="str">
        <f>VLOOKUP(I42,DADOS!B:F,5,0)</f>
        <v>#N/A</v>
      </c>
      <c r="K42" s="98"/>
      <c r="L42" s="132" t="s">
        <v>4</v>
      </c>
      <c r="M42" s="99" t="s">
        <v>105</v>
      </c>
      <c r="N42" s="100"/>
      <c r="O42" s="101"/>
      <c r="P42" s="185"/>
      <c r="Q42" s="100"/>
      <c r="R42" s="100"/>
      <c r="S42" s="104" t="s">
        <v>94</v>
      </c>
      <c r="T42" s="134"/>
      <c r="U42" s="104" t="s">
        <v>93</v>
      </c>
      <c r="V42" s="104" t="s">
        <v>94</v>
      </c>
      <c r="W42" s="134"/>
      <c r="X42" s="104" t="s">
        <v>93</v>
      </c>
      <c r="Y42" s="107"/>
      <c r="Z42" s="108"/>
      <c r="AA42" s="109"/>
      <c r="AB42" s="110"/>
      <c r="AC42" s="99">
        <v>1.0</v>
      </c>
      <c r="AD42" s="99"/>
      <c r="AE42" s="99">
        <v>4.0</v>
      </c>
      <c r="AF42" s="111"/>
      <c r="AG42" s="111"/>
      <c r="AH42" s="112">
        <f t="shared" si="5"/>
        <v>4</v>
      </c>
      <c r="AI42" s="113">
        <f t="shared" si="6"/>
        <v>0</v>
      </c>
      <c r="AJ42" s="114">
        <v>1.0</v>
      </c>
      <c r="AK42" s="100"/>
      <c r="AL42" s="100"/>
      <c r="AM42" s="115"/>
      <c r="AN42" s="116"/>
      <c r="AO42" s="99"/>
      <c r="AP42" s="117"/>
      <c r="AQ42" s="199"/>
      <c r="AR42" s="117"/>
      <c r="AS42" s="119">
        <v>38312.03</v>
      </c>
      <c r="AT42" s="119"/>
      <c r="AU42" s="120" t="str">
        <f>VLOOKUP(I42,DADOS!B:C,2,0)</f>
        <v>#N/A</v>
      </c>
      <c r="AV42" s="121">
        <f t="shared" si="7"/>
        <v>9920</v>
      </c>
      <c r="AW42" s="122"/>
      <c r="AX42" s="122"/>
      <c r="AY42" s="92"/>
      <c r="AZ42" s="123"/>
      <c r="BA42" s="124" t="s">
        <v>140</v>
      </c>
      <c r="BB42" s="125" t="s">
        <v>367</v>
      </c>
      <c r="BC42" s="126"/>
      <c r="BD42" s="126"/>
      <c r="BE42" s="126"/>
      <c r="BF42" s="126"/>
      <c r="BG42" s="127">
        <f t="shared" si="9"/>
        <v>0</v>
      </c>
      <c r="BH42" s="126"/>
      <c r="BI42" s="126" t="s">
        <v>368</v>
      </c>
      <c r="BJ42" s="128" t="s">
        <v>369</v>
      </c>
      <c r="BK42" s="104" t="s">
        <v>94</v>
      </c>
      <c r="BL42" s="129"/>
      <c r="BM42" s="129"/>
      <c r="BN42" s="36"/>
      <c r="BO42" s="130"/>
      <c r="BP42" s="32"/>
      <c r="BQ42" s="32"/>
      <c r="BR42" s="131"/>
      <c r="BS42" s="32"/>
      <c r="BT42" s="32"/>
    </row>
    <row r="43">
      <c r="A43" s="140">
        <v>9.101891927E9</v>
      </c>
      <c r="B43" s="188" t="s">
        <v>370</v>
      </c>
      <c r="C43" s="142"/>
      <c r="D43" s="142"/>
      <c r="E43" s="172" t="s">
        <v>371</v>
      </c>
      <c r="F43" s="144" t="s">
        <v>333</v>
      </c>
      <c r="G43" s="145" t="s">
        <v>124</v>
      </c>
      <c r="H43" s="146" t="s">
        <v>227</v>
      </c>
      <c r="I43" s="147"/>
      <c r="J43" s="148" t="str">
        <f>VLOOKUP(I43,DADOS!B:F,5,0)</f>
        <v>#N/A</v>
      </c>
      <c r="K43" s="149"/>
      <c r="L43" s="190" t="s">
        <v>4</v>
      </c>
      <c r="M43" s="141" t="s">
        <v>105</v>
      </c>
      <c r="N43" s="150"/>
      <c r="O43" s="151"/>
      <c r="P43" s="152"/>
      <c r="Q43" s="150"/>
      <c r="R43" s="150"/>
      <c r="S43" s="153" t="s">
        <v>94</v>
      </c>
      <c r="T43" s="154"/>
      <c r="U43" s="153" t="s">
        <v>94</v>
      </c>
      <c r="V43" s="155" t="s">
        <v>94</v>
      </c>
      <c r="W43" s="156"/>
      <c r="X43" s="153" t="s">
        <v>93</v>
      </c>
      <c r="Y43" s="157"/>
      <c r="Z43" s="158"/>
      <c r="AA43" s="159" t="s">
        <v>94</v>
      </c>
      <c r="AB43" s="160"/>
      <c r="AC43" s="141">
        <v>0.0</v>
      </c>
      <c r="AD43" s="141"/>
      <c r="AE43" s="141">
        <v>12.0</v>
      </c>
      <c r="AF43" s="161"/>
      <c r="AG43" s="161"/>
      <c r="AH43" s="162">
        <f t="shared" si="5"/>
        <v>12</v>
      </c>
      <c r="AI43" s="163">
        <f t="shared" si="6"/>
        <v>0</v>
      </c>
      <c r="AJ43" s="189">
        <v>1.0</v>
      </c>
      <c r="AK43" s="150"/>
      <c r="AL43" s="150"/>
      <c r="AM43" s="164"/>
      <c r="AN43" s="165"/>
      <c r="AO43" s="141"/>
      <c r="AP43" s="166" t="s">
        <v>372</v>
      </c>
      <c r="AQ43" s="191" t="s">
        <v>373</v>
      </c>
      <c r="AR43" s="166" t="s">
        <v>374</v>
      </c>
      <c r="AS43" s="168">
        <v>93593.72</v>
      </c>
      <c r="AT43" s="168"/>
      <c r="AU43" s="169" t="str">
        <f>VLOOKUP(I43,DADOS!B:C,2,0)</f>
        <v>#N/A</v>
      </c>
      <c r="AV43" s="170">
        <f t="shared" si="7"/>
        <v>29760</v>
      </c>
      <c r="AW43" s="171"/>
      <c r="AX43" s="171"/>
      <c r="AY43" s="172"/>
      <c r="AZ43" s="173"/>
      <c r="BA43" s="174"/>
      <c r="BB43" s="175"/>
      <c r="BC43" s="176"/>
      <c r="BD43" s="176"/>
      <c r="BE43" s="176"/>
      <c r="BF43" s="176"/>
      <c r="BG43" s="177">
        <f t="shared" si="9"/>
        <v>0</v>
      </c>
      <c r="BH43" s="176"/>
      <c r="BI43" s="166" t="s">
        <v>372</v>
      </c>
      <c r="BJ43" s="178"/>
      <c r="BK43" s="179" t="s">
        <v>102</v>
      </c>
      <c r="BL43" s="180"/>
      <c r="BM43" s="180"/>
      <c r="BN43" s="181"/>
      <c r="BO43" s="130"/>
      <c r="BP43" s="131"/>
      <c r="BQ43" s="131"/>
      <c r="BR43" s="131"/>
      <c r="BS43" s="131"/>
      <c r="BT43" s="131"/>
    </row>
    <row r="44">
      <c r="A44" s="89"/>
      <c r="B44" s="99"/>
      <c r="C44" s="91"/>
      <c r="D44" s="91"/>
      <c r="E44" s="92"/>
      <c r="F44" s="93"/>
      <c r="G44" s="94"/>
      <c r="H44" s="95"/>
      <c r="I44" s="96"/>
      <c r="J44" s="97" t="str">
        <f>VLOOKUP(I44,DADOS!B:F,5,0)</f>
        <v>#N/A</v>
      </c>
      <c r="K44" s="98"/>
      <c r="L44" s="99"/>
      <c r="M44" s="99"/>
      <c r="N44" s="100"/>
      <c r="O44" s="101"/>
      <c r="P44" s="185"/>
      <c r="Q44" s="100"/>
      <c r="R44" s="100"/>
      <c r="S44" s="104"/>
      <c r="T44" s="134"/>
      <c r="U44" s="104"/>
      <c r="V44" s="105"/>
      <c r="W44" s="106"/>
      <c r="X44" s="104"/>
      <c r="Y44" s="107"/>
      <c r="Z44" s="108"/>
      <c r="AA44" s="109"/>
      <c r="AB44" s="110"/>
      <c r="AC44" s="99"/>
      <c r="AD44" s="99"/>
      <c r="AE44" s="99"/>
      <c r="AF44" s="111"/>
      <c r="AG44" s="111"/>
      <c r="AH44" s="112">
        <f t="shared" si="5"/>
        <v>0</v>
      </c>
      <c r="AI44" s="113">
        <f t="shared" si="6"/>
        <v>0</v>
      </c>
      <c r="AJ44" s="114"/>
      <c r="AK44" s="100"/>
      <c r="AL44" s="100"/>
      <c r="AM44" s="115"/>
      <c r="AN44" s="116"/>
      <c r="AO44" s="99"/>
      <c r="AP44" s="117"/>
      <c r="AQ44" s="199"/>
      <c r="AR44" s="117"/>
      <c r="AS44" s="119"/>
      <c r="AT44" s="119"/>
      <c r="AU44" s="120" t="str">
        <f>VLOOKUP(I44,DADOS!B:C,2,0)</f>
        <v>#N/A</v>
      </c>
      <c r="AV44" s="121">
        <f t="shared" si="7"/>
        <v>0</v>
      </c>
      <c r="AW44" s="122"/>
      <c r="AX44" s="122"/>
      <c r="AY44" s="92"/>
      <c r="AZ44" s="123"/>
      <c r="BA44" s="124"/>
      <c r="BB44" s="125"/>
      <c r="BC44" s="126"/>
      <c r="BD44" s="126"/>
      <c r="BE44" s="126"/>
      <c r="BF44" s="126"/>
      <c r="BG44" s="127">
        <f t="shared" si="9"/>
        <v>0</v>
      </c>
      <c r="BH44" s="126"/>
      <c r="BI44" s="126"/>
      <c r="BJ44" s="128"/>
      <c r="BK44" s="193" t="s">
        <v>102</v>
      </c>
      <c r="BL44" s="129"/>
      <c r="BM44" s="129"/>
      <c r="BN44" s="36"/>
      <c r="BO44" s="130"/>
      <c r="BP44" s="32"/>
      <c r="BQ44" s="32"/>
      <c r="BR44" s="131"/>
      <c r="BS44" s="32"/>
      <c r="BT44" s="32"/>
    </row>
    <row r="45">
      <c r="A45" s="89"/>
      <c r="B45" s="99"/>
      <c r="C45" s="91"/>
      <c r="D45" s="91"/>
      <c r="E45" s="92"/>
      <c r="F45" s="93"/>
      <c r="G45" s="94"/>
      <c r="H45" s="95"/>
      <c r="I45" s="96"/>
      <c r="J45" s="97" t="str">
        <f>VLOOKUP(I45,DADOS!B:F,5,0)</f>
        <v>#N/A</v>
      </c>
      <c r="K45" s="98"/>
      <c r="L45" s="99"/>
      <c r="M45" s="99"/>
      <c r="N45" s="100"/>
      <c r="O45" s="101"/>
      <c r="P45" s="185"/>
      <c r="Q45" s="100"/>
      <c r="R45" s="100"/>
      <c r="S45" s="104"/>
      <c r="T45" s="134"/>
      <c r="U45" s="104"/>
      <c r="V45" s="105"/>
      <c r="W45" s="106"/>
      <c r="X45" s="104"/>
      <c r="Y45" s="107"/>
      <c r="Z45" s="108"/>
      <c r="AA45" s="109"/>
      <c r="AB45" s="110"/>
      <c r="AC45" s="99"/>
      <c r="AD45" s="99"/>
      <c r="AE45" s="99"/>
      <c r="AF45" s="111"/>
      <c r="AG45" s="111"/>
      <c r="AH45" s="112">
        <f t="shared" si="5"/>
        <v>0</v>
      </c>
      <c r="AI45" s="113">
        <f t="shared" si="6"/>
        <v>0</v>
      </c>
      <c r="AJ45" s="114"/>
      <c r="AK45" s="100"/>
      <c r="AL45" s="100"/>
      <c r="AM45" s="115"/>
      <c r="AN45" s="116"/>
      <c r="AO45" s="99"/>
      <c r="AP45" s="117"/>
      <c r="AQ45" s="199"/>
      <c r="AR45" s="117"/>
      <c r="AS45" s="119"/>
      <c r="AT45" s="119"/>
      <c r="AU45" s="120" t="str">
        <f>VLOOKUP(I45,DADOS!B:C,2,0)</f>
        <v>#N/A</v>
      </c>
      <c r="AV45" s="121">
        <f t="shared" si="7"/>
        <v>0</v>
      </c>
      <c r="AW45" s="122"/>
      <c r="AX45" s="122"/>
      <c r="AY45" s="92"/>
      <c r="AZ45" s="123"/>
      <c r="BA45" s="124"/>
      <c r="BB45" s="125"/>
      <c r="BC45" s="126"/>
      <c r="BD45" s="126"/>
      <c r="BE45" s="126"/>
      <c r="BF45" s="126"/>
      <c r="BG45" s="127">
        <f t="shared" si="9"/>
        <v>0</v>
      </c>
      <c r="BH45" s="126"/>
      <c r="BI45" s="126"/>
      <c r="BJ45" s="128"/>
      <c r="BK45" s="193" t="s">
        <v>102</v>
      </c>
      <c r="BL45" s="129"/>
      <c r="BM45" s="129"/>
      <c r="BN45" s="36"/>
      <c r="BO45" s="130"/>
      <c r="BP45" s="32"/>
      <c r="BQ45" s="32"/>
      <c r="BR45" s="131"/>
      <c r="BS45" s="32"/>
      <c r="BT45" s="32"/>
    </row>
    <row r="46">
      <c r="A46" s="89"/>
      <c r="B46" s="99"/>
      <c r="C46" s="91"/>
      <c r="D46" s="91"/>
      <c r="E46" s="92"/>
      <c r="F46" s="93"/>
      <c r="G46" s="94"/>
      <c r="H46" s="95"/>
      <c r="I46" s="96"/>
      <c r="J46" s="97" t="str">
        <f>VLOOKUP(I46,DADOS!B:F,5,0)</f>
        <v>#N/A</v>
      </c>
      <c r="K46" s="98"/>
      <c r="L46" s="99"/>
      <c r="M46" s="99"/>
      <c r="N46" s="100"/>
      <c r="O46" s="101"/>
      <c r="P46" s="185"/>
      <c r="Q46" s="100"/>
      <c r="R46" s="100"/>
      <c r="S46" s="104"/>
      <c r="T46" s="134"/>
      <c r="U46" s="104"/>
      <c r="V46" s="105"/>
      <c r="W46" s="106"/>
      <c r="X46" s="104"/>
      <c r="Y46" s="107"/>
      <c r="Z46" s="108"/>
      <c r="AA46" s="109"/>
      <c r="AB46" s="110"/>
      <c r="AC46" s="99"/>
      <c r="AD46" s="99"/>
      <c r="AE46" s="99"/>
      <c r="AF46" s="111"/>
      <c r="AG46" s="111"/>
      <c r="AH46" s="112">
        <f t="shared" si="5"/>
        <v>0</v>
      </c>
      <c r="AI46" s="113">
        <f t="shared" si="6"/>
        <v>0</v>
      </c>
      <c r="AJ46" s="114"/>
      <c r="AK46" s="100"/>
      <c r="AL46" s="100"/>
      <c r="AM46" s="115"/>
      <c r="AN46" s="116"/>
      <c r="AO46" s="99"/>
      <c r="AP46" s="117"/>
      <c r="AQ46" s="199"/>
      <c r="AR46" s="117"/>
      <c r="AS46" s="119"/>
      <c r="AT46" s="119"/>
      <c r="AU46" s="120" t="str">
        <f>VLOOKUP(I46,DADOS!B:C,2,0)</f>
        <v>#N/A</v>
      </c>
      <c r="AV46" s="121">
        <f t="shared" si="7"/>
        <v>0</v>
      </c>
      <c r="AW46" s="122"/>
      <c r="AX46" s="122"/>
      <c r="AY46" s="92"/>
      <c r="AZ46" s="123"/>
      <c r="BA46" s="124"/>
      <c r="BB46" s="125"/>
      <c r="BC46" s="126"/>
      <c r="BD46" s="126"/>
      <c r="BE46" s="126"/>
      <c r="BF46" s="126"/>
      <c r="BG46" s="127">
        <f t="shared" si="9"/>
        <v>0</v>
      </c>
      <c r="BH46" s="126"/>
      <c r="BI46" s="126"/>
      <c r="BJ46" s="128"/>
      <c r="BK46" s="193" t="s">
        <v>102</v>
      </c>
      <c r="BL46" s="129"/>
      <c r="BM46" s="129"/>
      <c r="BN46" s="36"/>
      <c r="BO46" s="130"/>
      <c r="BP46" s="32"/>
      <c r="BQ46" s="32"/>
      <c r="BR46" s="131"/>
      <c r="BS46" s="32"/>
      <c r="BT46" s="32"/>
    </row>
    <row r="47">
      <c r="A47" s="89"/>
      <c r="B47" s="99"/>
      <c r="C47" s="91"/>
      <c r="D47" s="91"/>
      <c r="E47" s="92"/>
      <c r="F47" s="93"/>
      <c r="G47" s="94"/>
      <c r="H47" s="95"/>
      <c r="I47" s="96"/>
      <c r="J47" s="97" t="str">
        <f>VLOOKUP(I47,DADOS!B:F,5,0)</f>
        <v>#N/A</v>
      </c>
      <c r="K47" s="98"/>
      <c r="L47" s="99"/>
      <c r="M47" s="99"/>
      <c r="N47" s="100"/>
      <c r="O47" s="101"/>
      <c r="P47" s="185"/>
      <c r="Q47" s="100"/>
      <c r="R47" s="100"/>
      <c r="S47" s="104"/>
      <c r="T47" s="134"/>
      <c r="U47" s="104"/>
      <c r="V47" s="105"/>
      <c r="W47" s="106"/>
      <c r="X47" s="104"/>
      <c r="Y47" s="107"/>
      <c r="Z47" s="108"/>
      <c r="AA47" s="109"/>
      <c r="AB47" s="110"/>
      <c r="AC47" s="99"/>
      <c r="AD47" s="99"/>
      <c r="AE47" s="99"/>
      <c r="AF47" s="111"/>
      <c r="AG47" s="111"/>
      <c r="AH47" s="112">
        <f t="shared" si="5"/>
        <v>0</v>
      </c>
      <c r="AI47" s="113">
        <f t="shared" si="6"/>
        <v>0</v>
      </c>
      <c r="AJ47" s="114"/>
      <c r="AK47" s="100"/>
      <c r="AL47" s="100"/>
      <c r="AM47" s="115"/>
      <c r="AN47" s="116"/>
      <c r="AO47" s="99"/>
      <c r="AP47" s="117"/>
      <c r="AQ47" s="199"/>
      <c r="AR47" s="117"/>
      <c r="AS47" s="119"/>
      <c r="AT47" s="119"/>
      <c r="AU47" s="120" t="str">
        <f>VLOOKUP(I47,DADOS!B:C,2,0)</f>
        <v>#N/A</v>
      </c>
      <c r="AV47" s="121">
        <f t="shared" si="7"/>
        <v>0</v>
      </c>
      <c r="AW47" s="122"/>
      <c r="AX47" s="122"/>
      <c r="AY47" s="92"/>
      <c r="AZ47" s="123"/>
      <c r="BA47" s="124"/>
      <c r="BB47" s="125"/>
      <c r="BC47" s="126"/>
      <c r="BD47" s="126"/>
      <c r="BE47" s="126"/>
      <c r="BF47" s="126"/>
      <c r="BG47" s="127">
        <f t="shared" si="9"/>
        <v>0</v>
      </c>
      <c r="BH47" s="126"/>
      <c r="BI47" s="126"/>
      <c r="BJ47" s="128"/>
      <c r="BK47" s="193" t="s">
        <v>102</v>
      </c>
      <c r="BL47" s="129"/>
      <c r="BM47" s="129"/>
      <c r="BN47" s="36"/>
      <c r="BO47" s="130"/>
      <c r="BP47" s="32"/>
      <c r="BQ47" s="32"/>
      <c r="BR47" s="131"/>
      <c r="BS47" s="32"/>
      <c r="BT47" s="32"/>
    </row>
    <row r="48">
      <c r="A48" s="89"/>
      <c r="B48" s="99"/>
      <c r="C48" s="91"/>
      <c r="D48" s="91"/>
      <c r="E48" s="92"/>
      <c r="F48" s="93"/>
      <c r="G48" s="94"/>
      <c r="H48" s="95"/>
      <c r="I48" s="96"/>
      <c r="J48" s="97" t="str">
        <f>VLOOKUP(I48,DADOS!B:F,5,0)</f>
        <v>#N/A</v>
      </c>
      <c r="K48" s="98"/>
      <c r="L48" s="99"/>
      <c r="M48" s="99"/>
      <c r="N48" s="100"/>
      <c r="O48" s="101"/>
      <c r="P48" s="185"/>
      <c r="Q48" s="100"/>
      <c r="R48" s="100"/>
      <c r="S48" s="104"/>
      <c r="T48" s="134"/>
      <c r="U48" s="104"/>
      <c r="V48" s="105"/>
      <c r="W48" s="106"/>
      <c r="X48" s="104"/>
      <c r="Y48" s="107"/>
      <c r="Z48" s="108"/>
      <c r="AA48" s="109"/>
      <c r="AB48" s="110"/>
      <c r="AC48" s="99"/>
      <c r="AD48" s="99"/>
      <c r="AE48" s="99"/>
      <c r="AF48" s="111"/>
      <c r="AG48" s="111"/>
      <c r="AH48" s="112">
        <f t="shared" si="5"/>
        <v>0</v>
      </c>
      <c r="AI48" s="113">
        <f t="shared" si="6"/>
        <v>0</v>
      </c>
      <c r="AJ48" s="114"/>
      <c r="AK48" s="100"/>
      <c r="AL48" s="100"/>
      <c r="AM48" s="115"/>
      <c r="AN48" s="116"/>
      <c r="AO48" s="99"/>
      <c r="AP48" s="117"/>
      <c r="AQ48" s="199"/>
      <c r="AR48" s="117"/>
      <c r="AS48" s="119"/>
      <c r="AT48" s="119"/>
      <c r="AU48" s="120" t="str">
        <f>VLOOKUP(I48,DADOS!B:C,2,0)</f>
        <v>#N/A</v>
      </c>
      <c r="AV48" s="121">
        <f t="shared" si="7"/>
        <v>0</v>
      </c>
      <c r="AW48" s="122"/>
      <c r="AX48" s="122"/>
      <c r="AY48" s="92"/>
      <c r="AZ48" s="123"/>
      <c r="BA48" s="124"/>
      <c r="BB48" s="125"/>
      <c r="BC48" s="126"/>
      <c r="BD48" s="126"/>
      <c r="BE48" s="126"/>
      <c r="BF48" s="126"/>
      <c r="BG48" s="127">
        <f t="shared" si="9"/>
        <v>0</v>
      </c>
      <c r="BH48" s="126"/>
      <c r="BI48" s="126"/>
      <c r="BJ48" s="128"/>
      <c r="BK48" s="193" t="s">
        <v>102</v>
      </c>
      <c r="BL48" s="129"/>
      <c r="BM48" s="129"/>
      <c r="BN48" s="36"/>
      <c r="BO48" s="130"/>
      <c r="BP48" s="32"/>
      <c r="BQ48" s="32"/>
      <c r="BR48" s="131"/>
      <c r="BS48" s="32"/>
      <c r="BT48" s="32"/>
    </row>
    <row r="49">
      <c r="A49" s="89"/>
      <c r="B49" s="99"/>
      <c r="C49" s="91"/>
      <c r="D49" s="91"/>
      <c r="E49" s="92"/>
      <c r="F49" s="93"/>
      <c r="G49" s="94"/>
      <c r="H49" s="95"/>
      <c r="I49" s="96"/>
      <c r="J49" s="97" t="str">
        <f>VLOOKUP(I49,DADOS!B:F,5,0)</f>
        <v>#N/A</v>
      </c>
      <c r="K49" s="98"/>
      <c r="L49" s="99"/>
      <c r="M49" s="99"/>
      <c r="N49" s="100"/>
      <c r="O49" s="101"/>
      <c r="P49" s="185"/>
      <c r="Q49" s="100"/>
      <c r="R49" s="100"/>
      <c r="S49" s="104"/>
      <c r="T49" s="134"/>
      <c r="U49" s="104"/>
      <c r="V49" s="105"/>
      <c r="W49" s="106"/>
      <c r="X49" s="104"/>
      <c r="Y49" s="107"/>
      <c r="Z49" s="108"/>
      <c r="AA49" s="109"/>
      <c r="AB49" s="110"/>
      <c r="AC49" s="99"/>
      <c r="AD49" s="99"/>
      <c r="AE49" s="99"/>
      <c r="AF49" s="111"/>
      <c r="AG49" s="111"/>
      <c r="AH49" s="112">
        <f t="shared" si="5"/>
        <v>0</v>
      </c>
      <c r="AI49" s="113">
        <f t="shared" si="6"/>
        <v>0</v>
      </c>
      <c r="AJ49" s="114"/>
      <c r="AK49" s="100"/>
      <c r="AL49" s="100"/>
      <c r="AM49" s="115"/>
      <c r="AN49" s="116"/>
      <c r="AO49" s="99"/>
      <c r="AP49" s="117"/>
      <c r="AQ49" s="199"/>
      <c r="AR49" s="117"/>
      <c r="AS49" s="119"/>
      <c r="AT49" s="119"/>
      <c r="AU49" s="120" t="str">
        <f>VLOOKUP(I49,DADOS!B:C,2,0)</f>
        <v>#N/A</v>
      </c>
      <c r="AV49" s="121">
        <f t="shared" si="7"/>
        <v>0</v>
      </c>
      <c r="AW49" s="122"/>
      <c r="AX49" s="122"/>
      <c r="AY49" s="92"/>
      <c r="AZ49" s="123"/>
      <c r="BA49" s="124"/>
      <c r="BB49" s="125"/>
      <c r="BC49" s="126"/>
      <c r="BD49" s="126"/>
      <c r="BE49" s="126"/>
      <c r="BF49" s="126"/>
      <c r="BG49" s="127">
        <f t="shared" si="9"/>
        <v>0</v>
      </c>
      <c r="BH49" s="126"/>
      <c r="BI49" s="126"/>
      <c r="BJ49" s="128"/>
      <c r="BK49" s="193" t="s">
        <v>102</v>
      </c>
      <c r="BL49" s="129"/>
      <c r="BM49" s="129"/>
      <c r="BN49" s="36"/>
      <c r="BO49" s="130"/>
      <c r="BP49" s="32"/>
      <c r="BQ49" s="32"/>
      <c r="BR49" s="131"/>
      <c r="BS49" s="32"/>
      <c r="BT49" s="32"/>
    </row>
    <row r="50">
      <c r="A50" s="89"/>
      <c r="B50" s="99"/>
      <c r="C50" s="91"/>
      <c r="D50" s="91"/>
      <c r="E50" s="92"/>
      <c r="F50" s="93"/>
      <c r="G50" s="94"/>
      <c r="H50" s="95"/>
      <c r="I50" s="96"/>
      <c r="J50" s="97" t="str">
        <f>VLOOKUP(I50,DADOS!B:F,5,0)</f>
        <v>#N/A</v>
      </c>
      <c r="K50" s="98"/>
      <c r="L50" s="99"/>
      <c r="M50" s="99"/>
      <c r="N50" s="100"/>
      <c r="O50" s="101"/>
      <c r="P50" s="185"/>
      <c r="Q50" s="100"/>
      <c r="R50" s="100"/>
      <c r="S50" s="104"/>
      <c r="T50" s="134"/>
      <c r="U50" s="104"/>
      <c r="V50" s="105"/>
      <c r="W50" s="106"/>
      <c r="X50" s="104"/>
      <c r="Y50" s="107"/>
      <c r="Z50" s="108"/>
      <c r="AA50" s="109"/>
      <c r="AB50" s="110"/>
      <c r="AC50" s="99"/>
      <c r="AD50" s="99"/>
      <c r="AE50" s="99"/>
      <c r="AF50" s="111"/>
      <c r="AG50" s="111"/>
      <c r="AH50" s="112">
        <f t="shared" si="5"/>
        <v>0</v>
      </c>
      <c r="AI50" s="113">
        <f t="shared" si="6"/>
        <v>0</v>
      </c>
      <c r="AJ50" s="114"/>
      <c r="AK50" s="100"/>
      <c r="AL50" s="100"/>
      <c r="AM50" s="115"/>
      <c r="AN50" s="116"/>
      <c r="AO50" s="99"/>
      <c r="AP50" s="117"/>
      <c r="AQ50" s="199"/>
      <c r="AR50" s="117"/>
      <c r="AS50" s="119"/>
      <c r="AT50" s="119"/>
      <c r="AU50" s="120" t="str">
        <f>VLOOKUP(I50,DADOS!B:C,2,0)</f>
        <v>#N/A</v>
      </c>
      <c r="AV50" s="121">
        <f t="shared" si="7"/>
        <v>0</v>
      </c>
      <c r="AW50" s="122"/>
      <c r="AX50" s="122"/>
      <c r="AY50" s="92"/>
      <c r="AZ50" s="123"/>
      <c r="BA50" s="124"/>
      <c r="BB50" s="125"/>
      <c r="BC50" s="126"/>
      <c r="BD50" s="126"/>
      <c r="BE50" s="126"/>
      <c r="BF50" s="126"/>
      <c r="BG50" s="127">
        <f t="shared" si="9"/>
        <v>0</v>
      </c>
      <c r="BH50" s="126"/>
      <c r="BI50" s="126"/>
      <c r="BJ50" s="128"/>
      <c r="BK50" s="193" t="s">
        <v>102</v>
      </c>
      <c r="BL50" s="129"/>
      <c r="BM50" s="129"/>
      <c r="BN50" s="36"/>
      <c r="BO50" s="130"/>
      <c r="BP50" s="32"/>
      <c r="BQ50" s="32"/>
      <c r="BR50" s="131"/>
      <c r="BS50" s="32"/>
      <c r="BT50" s="32"/>
    </row>
    <row r="51">
      <c r="A51" s="89"/>
      <c r="B51" s="99"/>
      <c r="C51" s="91"/>
      <c r="D51" s="91"/>
      <c r="E51" s="92"/>
      <c r="F51" s="93"/>
      <c r="G51" s="94"/>
      <c r="H51" s="95"/>
      <c r="I51" s="96"/>
      <c r="J51" s="97" t="str">
        <f>VLOOKUP(I51,DADOS!B:F,5,0)</f>
        <v>#N/A</v>
      </c>
      <c r="K51" s="98"/>
      <c r="L51" s="99"/>
      <c r="M51" s="99"/>
      <c r="N51" s="100"/>
      <c r="O51" s="101"/>
      <c r="P51" s="185"/>
      <c r="Q51" s="100"/>
      <c r="R51" s="100"/>
      <c r="S51" s="104"/>
      <c r="T51" s="134"/>
      <c r="U51" s="104"/>
      <c r="V51" s="105"/>
      <c r="W51" s="106"/>
      <c r="X51" s="104"/>
      <c r="Y51" s="107"/>
      <c r="Z51" s="108"/>
      <c r="AA51" s="109"/>
      <c r="AB51" s="110"/>
      <c r="AC51" s="99"/>
      <c r="AD51" s="99"/>
      <c r="AE51" s="99"/>
      <c r="AF51" s="111"/>
      <c r="AG51" s="111"/>
      <c r="AH51" s="112">
        <f t="shared" si="5"/>
        <v>0</v>
      </c>
      <c r="AI51" s="113">
        <f t="shared" si="6"/>
        <v>0</v>
      </c>
      <c r="AJ51" s="114"/>
      <c r="AK51" s="100"/>
      <c r="AL51" s="100"/>
      <c r="AM51" s="115"/>
      <c r="AN51" s="116"/>
      <c r="AO51" s="99"/>
      <c r="AP51" s="117"/>
      <c r="AQ51" s="199"/>
      <c r="AR51" s="117"/>
      <c r="AS51" s="119"/>
      <c r="AT51" s="119"/>
      <c r="AU51" s="120" t="str">
        <f>VLOOKUP(I51,DADOS!B:C,2,0)</f>
        <v>#N/A</v>
      </c>
      <c r="AV51" s="121">
        <f t="shared" si="7"/>
        <v>0</v>
      </c>
      <c r="AW51" s="122"/>
      <c r="AX51" s="122"/>
      <c r="AY51" s="92"/>
      <c r="AZ51" s="123"/>
      <c r="BA51" s="124"/>
      <c r="BB51" s="125"/>
      <c r="BC51" s="126"/>
      <c r="BD51" s="126"/>
      <c r="BE51" s="126"/>
      <c r="BF51" s="126"/>
      <c r="BG51" s="127">
        <f t="shared" si="9"/>
        <v>0</v>
      </c>
      <c r="BH51" s="126"/>
      <c r="BI51" s="126"/>
      <c r="BJ51" s="128"/>
      <c r="BK51" s="193" t="s">
        <v>102</v>
      </c>
      <c r="BL51" s="129"/>
      <c r="BM51" s="129"/>
      <c r="BN51" s="36"/>
      <c r="BO51" s="130"/>
      <c r="BP51" s="32"/>
      <c r="BQ51" s="32"/>
      <c r="BR51" s="131"/>
      <c r="BS51" s="32"/>
      <c r="BT51" s="32"/>
    </row>
    <row r="52">
      <c r="A52" s="89"/>
      <c r="B52" s="99"/>
      <c r="C52" s="91"/>
      <c r="D52" s="91"/>
      <c r="E52" s="92"/>
      <c r="F52" s="93"/>
      <c r="G52" s="94"/>
      <c r="H52" s="95"/>
      <c r="I52" s="96"/>
      <c r="J52" s="97" t="str">
        <f>VLOOKUP(I52,DADOS!B:F,5,0)</f>
        <v>#N/A</v>
      </c>
      <c r="K52" s="98"/>
      <c r="L52" s="99"/>
      <c r="M52" s="99"/>
      <c r="N52" s="100"/>
      <c r="O52" s="101"/>
      <c r="P52" s="185"/>
      <c r="Q52" s="100"/>
      <c r="R52" s="100"/>
      <c r="S52" s="104"/>
      <c r="T52" s="134"/>
      <c r="U52" s="104"/>
      <c r="V52" s="105"/>
      <c r="W52" s="106"/>
      <c r="X52" s="104"/>
      <c r="Y52" s="107"/>
      <c r="Z52" s="108"/>
      <c r="AA52" s="109"/>
      <c r="AB52" s="110"/>
      <c r="AC52" s="99"/>
      <c r="AD52" s="99"/>
      <c r="AE52" s="99"/>
      <c r="AF52" s="111"/>
      <c r="AG52" s="111"/>
      <c r="AH52" s="112">
        <f t="shared" si="5"/>
        <v>0</v>
      </c>
      <c r="AI52" s="113">
        <f t="shared" si="6"/>
        <v>0</v>
      </c>
      <c r="AJ52" s="114"/>
      <c r="AK52" s="100"/>
      <c r="AL52" s="100"/>
      <c r="AM52" s="115"/>
      <c r="AN52" s="116"/>
      <c r="AO52" s="99"/>
      <c r="AP52" s="117"/>
      <c r="AQ52" s="199"/>
      <c r="AR52" s="117"/>
      <c r="AS52" s="119"/>
      <c r="AT52" s="119"/>
      <c r="AU52" s="120" t="str">
        <f>VLOOKUP(I52,DADOS!B:C,2,0)</f>
        <v>#N/A</v>
      </c>
      <c r="AV52" s="121">
        <f t="shared" si="7"/>
        <v>0</v>
      </c>
      <c r="AW52" s="122"/>
      <c r="AX52" s="122"/>
      <c r="AY52" s="92"/>
      <c r="AZ52" s="123"/>
      <c r="BA52" s="124"/>
      <c r="BB52" s="125"/>
      <c r="BC52" s="126"/>
      <c r="BD52" s="126"/>
      <c r="BE52" s="126"/>
      <c r="BF52" s="126"/>
      <c r="BG52" s="127">
        <f t="shared" si="9"/>
        <v>0</v>
      </c>
      <c r="BH52" s="126"/>
      <c r="BI52" s="126"/>
      <c r="BJ52" s="128"/>
      <c r="BK52" s="193" t="s">
        <v>102</v>
      </c>
      <c r="BL52" s="129"/>
      <c r="BM52" s="129"/>
      <c r="BN52" s="36"/>
      <c r="BO52" s="130"/>
      <c r="BP52" s="32"/>
      <c r="BQ52" s="32"/>
      <c r="BR52" s="131"/>
      <c r="BS52" s="32"/>
      <c r="BT52" s="32"/>
    </row>
    <row r="53">
      <c r="A53" s="89"/>
      <c r="B53" s="99"/>
      <c r="C53" s="91"/>
      <c r="D53" s="91"/>
      <c r="E53" s="92"/>
      <c r="F53" s="93"/>
      <c r="G53" s="94"/>
      <c r="H53" s="95"/>
      <c r="I53" s="96"/>
      <c r="J53" s="97" t="str">
        <f>VLOOKUP(I53,DADOS!B:F,5,0)</f>
        <v>#N/A</v>
      </c>
      <c r="K53" s="98"/>
      <c r="L53" s="99"/>
      <c r="M53" s="99"/>
      <c r="N53" s="100"/>
      <c r="O53" s="101"/>
      <c r="P53" s="185"/>
      <c r="Q53" s="100"/>
      <c r="R53" s="100"/>
      <c r="S53" s="104"/>
      <c r="T53" s="134"/>
      <c r="U53" s="104"/>
      <c r="V53" s="105"/>
      <c r="W53" s="106"/>
      <c r="X53" s="104"/>
      <c r="Y53" s="107"/>
      <c r="Z53" s="108"/>
      <c r="AA53" s="109"/>
      <c r="AB53" s="110"/>
      <c r="AC53" s="99"/>
      <c r="AD53" s="99"/>
      <c r="AE53" s="99"/>
      <c r="AF53" s="111"/>
      <c r="AG53" s="111"/>
      <c r="AH53" s="112">
        <f t="shared" si="5"/>
        <v>0</v>
      </c>
      <c r="AI53" s="113">
        <f t="shared" si="6"/>
        <v>0</v>
      </c>
      <c r="AJ53" s="114"/>
      <c r="AK53" s="100"/>
      <c r="AL53" s="100"/>
      <c r="AM53" s="115"/>
      <c r="AN53" s="116"/>
      <c r="AO53" s="99"/>
      <c r="AP53" s="117"/>
      <c r="AQ53" s="199"/>
      <c r="AR53" s="117"/>
      <c r="AS53" s="119"/>
      <c r="AT53" s="119"/>
      <c r="AU53" s="120" t="str">
        <f>VLOOKUP(I53,DADOS!B:C,2,0)</f>
        <v>#N/A</v>
      </c>
      <c r="AV53" s="121">
        <f t="shared" si="7"/>
        <v>0</v>
      </c>
      <c r="AW53" s="122"/>
      <c r="AX53" s="122"/>
      <c r="AY53" s="92"/>
      <c r="AZ53" s="123"/>
      <c r="BA53" s="124"/>
      <c r="BB53" s="125"/>
      <c r="BC53" s="126"/>
      <c r="BD53" s="126"/>
      <c r="BE53" s="126"/>
      <c r="BF53" s="126"/>
      <c r="BG53" s="127">
        <f t="shared" si="9"/>
        <v>0</v>
      </c>
      <c r="BH53" s="126"/>
      <c r="BI53" s="126"/>
      <c r="BJ53" s="128"/>
      <c r="BK53" s="193" t="s">
        <v>102</v>
      </c>
      <c r="BL53" s="129"/>
      <c r="BM53" s="129"/>
      <c r="BN53" s="36"/>
      <c r="BO53" s="130"/>
      <c r="BP53" s="32"/>
      <c r="BQ53" s="32"/>
      <c r="BR53" s="131"/>
      <c r="BS53" s="32"/>
      <c r="BT53" s="32"/>
    </row>
    <row r="54">
      <c r="A54" s="89"/>
      <c r="B54" s="99"/>
      <c r="C54" s="91"/>
      <c r="D54" s="91"/>
      <c r="E54" s="92"/>
      <c r="F54" s="93"/>
      <c r="G54" s="94"/>
      <c r="H54" s="95"/>
      <c r="I54" s="96"/>
      <c r="J54" s="97" t="str">
        <f>VLOOKUP(I54,DADOS!B:F,5,0)</f>
        <v>#N/A</v>
      </c>
      <c r="K54" s="98"/>
      <c r="L54" s="99"/>
      <c r="M54" s="99"/>
      <c r="N54" s="100"/>
      <c r="O54" s="101"/>
      <c r="P54" s="185"/>
      <c r="Q54" s="100"/>
      <c r="R54" s="100"/>
      <c r="S54" s="104"/>
      <c r="T54" s="134"/>
      <c r="U54" s="104"/>
      <c r="V54" s="105"/>
      <c r="W54" s="106"/>
      <c r="X54" s="104"/>
      <c r="Y54" s="107"/>
      <c r="Z54" s="108"/>
      <c r="AA54" s="109"/>
      <c r="AB54" s="110"/>
      <c r="AC54" s="99"/>
      <c r="AD54" s="99"/>
      <c r="AE54" s="99"/>
      <c r="AF54" s="111"/>
      <c r="AG54" s="111"/>
      <c r="AH54" s="112">
        <f t="shared" si="5"/>
        <v>0</v>
      </c>
      <c r="AI54" s="113">
        <f t="shared" si="6"/>
        <v>0</v>
      </c>
      <c r="AJ54" s="114"/>
      <c r="AK54" s="100"/>
      <c r="AL54" s="100"/>
      <c r="AM54" s="115"/>
      <c r="AN54" s="116"/>
      <c r="AO54" s="99"/>
      <c r="AP54" s="117"/>
      <c r="AQ54" s="199"/>
      <c r="AR54" s="117"/>
      <c r="AS54" s="119"/>
      <c r="AT54" s="119"/>
      <c r="AU54" s="120" t="str">
        <f>VLOOKUP(I54,DADOS!B:C,2,0)</f>
        <v>#N/A</v>
      </c>
      <c r="AV54" s="121">
        <f t="shared" si="7"/>
        <v>0</v>
      </c>
      <c r="AW54" s="122"/>
      <c r="AX54" s="122"/>
      <c r="AY54" s="92"/>
      <c r="AZ54" s="123"/>
      <c r="BA54" s="124"/>
      <c r="BB54" s="125"/>
      <c r="BC54" s="126"/>
      <c r="BD54" s="126"/>
      <c r="BE54" s="126"/>
      <c r="BF54" s="126"/>
      <c r="BG54" s="127">
        <f t="shared" si="9"/>
        <v>0</v>
      </c>
      <c r="BH54" s="126"/>
      <c r="BI54" s="126"/>
      <c r="BJ54" s="128"/>
      <c r="BK54" s="193" t="s">
        <v>102</v>
      </c>
      <c r="BL54" s="129"/>
      <c r="BM54" s="129"/>
      <c r="BN54" s="36"/>
      <c r="BO54" s="130"/>
      <c r="BP54" s="32"/>
      <c r="BQ54" s="32"/>
      <c r="BR54" s="131"/>
      <c r="BS54" s="32"/>
      <c r="BT54" s="32"/>
    </row>
    <row r="55">
      <c r="A55" s="89"/>
      <c r="B55" s="99"/>
      <c r="C55" s="91"/>
      <c r="D55" s="91"/>
      <c r="E55" s="92"/>
      <c r="F55" s="93"/>
      <c r="G55" s="94"/>
      <c r="H55" s="95"/>
      <c r="I55" s="96"/>
      <c r="J55" s="97" t="str">
        <f>VLOOKUP(I55,DADOS!B:F,5,0)</f>
        <v>#N/A</v>
      </c>
      <c r="K55" s="98"/>
      <c r="L55" s="99"/>
      <c r="M55" s="99"/>
      <c r="N55" s="100"/>
      <c r="O55" s="101"/>
      <c r="P55" s="185"/>
      <c r="Q55" s="100"/>
      <c r="R55" s="100"/>
      <c r="S55" s="104"/>
      <c r="T55" s="134"/>
      <c r="U55" s="104"/>
      <c r="V55" s="105"/>
      <c r="W55" s="106"/>
      <c r="X55" s="104"/>
      <c r="Y55" s="107"/>
      <c r="Z55" s="108"/>
      <c r="AA55" s="109"/>
      <c r="AB55" s="110"/>
      <c r="AC55" s="99"/>
      <c r="AD55" s="99"/>
      <c r="AE55" s="99"/>
      <c r="AF55" s="111"/>
      <c r="AG55" s="111"/>
      <c r="AH55" s="112">
        <f t="shared" si="5"/>
        <v>0</v>
      </c>
      <c r="AI55" s="113">
        <f t="shared" si="6"/>
        <v>0</v>
      </c>
      <c r="AJ55" s="114"/>
      <c r="AK55" s="100"/>
      <c r="AL55" s="100"/>
      <c r="AM55" s="115"/>
      <c r="AN55" s="116"/>
      <c r="AO55" s="99"/>
      <c r="AP55" s="117"/>
      <c r="AQ55" s="199"/>
      <c r="AR55" s="117"/>
      <c r="AS55" s="119"/>
      <c r="AT55" s="119"/>
      <c r="AU55" s="120" t="str">
        <f>VLOOKUP(I55,DADOS!B:C,2,0)</f>
        <v>#N/A</v>
      </c>
      <c r="AV55" s="121">
        <f t="shared" si="7"/>
        <v>0</v>
      </c>
      <c r="AW55" s="122"/>
      <c r="AX55" s="122"/>
      <c r="AY55" s="92"/>
      <c r="AZ55" s="123"/>
      <c r="BA55" s="124"/>
      <c r="BB55" s="125"/>
      <c r="BC55" s="126"/>
      <c r="BD55" s="126"/>
      <c r="BE55" s="126"/>
      <c r="BF55" s="126"/>
      <c r="BG55" s="127">
        <f t="shared" si="9"/>
        <v>0</v>
      </c>
      <c r="BH55" s="126"/>
      <c r="BI55" s="126"/>
      <c r="BJ55" s="128"/>
      <c r="BK55" s="193" t="s">
        <v>102</v>
      </c>
      <c r="BL55" s="129"/>
      <c r="BM55" s="129"/>
      <c r="BN55" s="36"/>
      <c r="BO55" s="130"/>
      <c r="BP55" s="32"/>
      <c r="BQ55" s="32"/>
      <c r="BR55" s="131"/>
      <c r="BS55" s="32"/>
      <c r="BT55" s="32"/>
    </row>
    <row r="56">
      <c r="A56" s="89"/>
      <c r="B56" s="99"/>
      <c r="C56" s="91"/>
      <c r="D56" s="91"/>
      <c r="E56" s="92"/>
      <c r="F56" s="93"/>
      <c r="G56" s="94"/>
      <c r="H56" s="95"/>
      <c r="I56" s="96"/>
      <c r="J56" s="97" t="str">
        <f>VLOOKUP(I56,DADOS!B:F,5,0)</f>
        <v>#N/A</v>
      </c>
      <c r="K56" s="98"/>
      <c r="L56" s="99"/>
      <c r="M56" s="99"/>
      <c r="N56" s="100"/>
      <c r="O56" s="101"/>
      <c r="P56" s="185"/>
      <c r="Q56" s="100"/>
      <c r="R56" s="100"/>
      <c r="S56" s="104"/>
      <c r="T56" s="134"/>
      <c r="U56" s="104"/>
      <c r="V56" s="105"/>
      <c r="W56" s="106"/>
      <c r="X56" s="104"/>
      <c r="Y56" s="107"/>
      <c r="Z56" s="108"/>
      <c r="AA56" s="109"/>
      <c r="AB56" s="110"/>
      <c r="AC56" s="99"/>
      <c r="AD56" s="99"/>
      <c r="AE56" s="99"/>
      <c r="AF56" s="111"/>
      <c r="AG56" s="111"/>
      <c r="AH56" s="112">
        <f t="shared" si="5"/>
        <v>0</v>
      </c>
      <c r="AI56" s="113">
        <f t="shared" si="6"/>
        <v>0</v>
      </c>
      <c r="AJ56" s="114"/>
      <c r="AK56" s="100"/>
      <c r="AL56" s="100"/>
      <c r="AM56" s="115"/>
      <c r="AN56" s="116"/>
      <c r="AO56" s="99"/>
      <c r="AP56" s="117"/>
      <c r="AQ56" s="199"/>
      <c r="AR56" s="117"/>
      <c r="AS56" s="119"/>
      <c r="AT56" s="119"/>
      <c r="AU56" s="120" t="str">
        <f>VLOOKUP(I56,DADOS!B:C,2,0)</f>
        <v>#N/A</v>
      </c>
      <c r="AV56" s="121">
        <f t="shared" si="7"/>
        <v>0</v>
      </c>
      <c r="AW56" s="122"/>
      <c r="AX56" s="122"/>
      <c r="AY56" s="92"/>
      <c r="AZ56" s="123"/>
      <c r="BA56" s="124"/>
      <c r="BB56" s="125"/>
      <c r="BC56" s="126"/>
      <c r="BD56" s="126"/>
      <c r="BE56" s="126"/>
      <c r="BF56" s="126"/>
      <c r="BG56" s="127">
        <f t="shared" si="9"/>
        <v>0</v>
      </c>
      <c r="BH56" s="126"/>
      <c r="BI56" s="126"/>
      <c r="BJ56" s="128"/>
      <c r="BK56" s="193" t="s">
        <v>102</v>
      </c>
      <c r="BL56" s="129"/>
      <c r="BM56" s="129"/>
      <c r="BN56" s="36"/>
      <c r="BO56" s="130"/>
      <c r="BP56" s="32"/>
      <c r="BQ56" s="32"/>
      <c r="BR56" s="131"/>
      <c r="BS56" s="32"/>
      <c r="BT56" s="32"/>
    </row>
    <row r="57">
      <c r="A57" s="89"/>
      <c r="B57" s="99"/>
      <c r="C57" s="91"/>
      <c r="D57" s="91"/>
      <c r="E57" s="92"/>
      <c r="F57" s="93"/>
      <c r="G57" s="94"/>
      <c r="H57" s="95"/>
      <c r="I57" s="96"/>
      <c r="J57" s="97" t="str">
        <f>VLOOKUP(I57,DADOS!B:F,5,0)</f>
        <v>#N/A</v>
      </c>
      <c r="K57" s="98"/>
      <c r="L57" s="99"/>
      <c r="M57" s="99"/>
      <c r="N57" s="100"/>
      <c r="O57" s="101"/>
      <c r="P57" s="185"/>
      <c r="Q57" s="100"/>
      <c r="R57" s="100"/>
      <c r="S57" s="104"/>
      <c r="T57" s="134"/>
      <c r="U57" s="104"/>
      <c r="V57" s="105"/>
      <c r="W57" s="106"/>
      <c r="X57" s="104"/>
      <c r="Y57" s="107"/>
      <c r="Z57" s="108"/>
      <c r="AA57" s="109"/>
      <c r="AB57" s="110"/>
      <c r="AC57" s="99"/>
      <c r="AD57" s="99"/>
      <c r="AE57" s="99"/>
      <c r="AF57" s="111"/>
      <c r="AG57" s="111"/>
      <c r="AH57" s="112">
        <f t="shared" si="5"/>
        <v>0</v>
      </c>
      <c r="AI57" s="113">
        <f t="shared" si="6"/>
        <v>0</v>
      </c>
      <c r="AJ57" s="114"/>
      <c r="AK57" s="100"/>
      <c r="AL57" s="100"/>
      <c r="AM57" s="115"/>
      <c r="AN57" s="116"/>
      <c r="AO57" s="99"/>
      <c r="AP57" s="117"/>
      <c r="AQ57" s="199"/>
      <c r="AR57" s="117"/>
      <c r="AS57" s="119"/>
      <c r="AT57" s="119"/>
      <c r="AU57" s="120" t="str">
        <f>VLOOKUP(I57,DADOS!B:C,2,0)</f>
        <v>#N/A</v>
      </c>
      <c r="AV57" s="121">
        <f t="shared" si="7"/>
        <v>0</v>
      </c>
      <c r="AW57" s="122"/>
      <c r="AX57" s="122"/>
      <c r="AY57" s="92"/>
      <c r="AZ57" s="123"/>
      <c r="BA57" s="124"/>
      <c r="BB57" s="125"/>
      <c r="BC57" s="126"/>
      <c r="BD57" s="126"/>
      <c r="BE57" s="126"/>
      <c r="BF57" s="126"/>
      <c r="BG57" s="127">
        <f t="shared" si="9"/>
        <v>0</v>
      </c>
      <c r="BH57" s="126"/>
      <c r="BI57" s="126"/>
      <c r="BJ57" s="128"/>
      <c r="BK57" s="193" t="s">
        <v>102</v>
      </c>
      <c r="BL57" s="129"/>
      <c r="BM57" s="129"/>
      <c r="BN57" s="36"/>
      <c r="BO57" s="130"/>
      <c r="BP57" s="32"/>
      <c r="BQ57" s="32"/>
      <c r="BR57" s="131"/>
      <c r="BS57" s="32"/>
      <c r="BT57" s="32"/>
    </row>
    <row r="58">
      <c r="A58" s="89"/>
      <c r="B58" s="99"/>
      <c r="C58" s="91"/>
      <c r="D58" s="91"/>
      <c r="E58" s="92"/>
      <c r="F58" s="93"/>
      <c r="G58" s="94"/>
      <c r="H58" s="95"/>
      <c r="I58" s="96"/>
      <c r="J58" s="97" t="str">
        <f>VLOOKUP(I58,DADOS!B:F,5,0)</f>
        <v>#N/A</v>
      </c>
      <c r="K58" s="98"/>
      <c r="L58" s="99"/>
      <c r="M58" s="99"/>
      <c r="N58" s="100"/>
      <c r="O58" s="101"/>
      <c r="P58" s="185"/>
      <c r="Q58" s="100"/>
      <c r="R58" s="100"/>
      <c r="S58" s="104"/>
      <c r="T58" s="134"/>
      <c r="U58" s="104"/>
      <c r="V58" s="105"/>
      <c r="W58" s="106"/>
      <c r="X58" s="104"/>
      <c r="Y58" s="107"/>
      <c r="Z58" s="108"/>
      <c r="AA58" s="109"/>
      <c r="AB58" s="110"/>
      <c r="AC58" s="99"/>
      <c r="AD58" s="99"/>
      <c r="AE58" s="99"/>
      <c r="AF58" s="111"/>
      <c r="AG58" s="111"/>
      <c r="AH58" s="112">
        <f t="shared" si="5"/>
        <v>0</v>
      </c>
      <c r="AI58" s="113">
        <f t="shared" si="6"/>
        <v>0</v>
      </c>
      <c r="AJ58" s="114"/>
      <c r="AK58" s="100"/>
      <c r="AL58" s="100"/>
      <c r="AM58" s="115"/>
      <c r="AN58" s="116"/>
      <c r="AO58" s="99"/>
      <c r="AP58" s="117"/>
      <c r="AQ58" s="199"/>
      <c r="AR58" s="117"/>
      <c r="AS58" s="119"/>
      <c r="AT58" s="119"/>
      <c r="AU58" s="120" t="str">
        <f>VLOOKUP(I58,DADOS!B:C,2,0)</f>
        <v>#N/A</v>
      </c>
      <c r="AV58" s="121">
        <f t="shared" si="7"/>
        <v>0</v>
      </c>
      <c r="AW58" s="122"/>
      <c r="AX58" s="122"/>
      <c r="AY58" s="92"/>
      <c r="AZ58" s="123"/>
      <c r="BA58" s="124"/>
      <c r="BB58" s="125"/>
      <c r="BC58" s="126"/>
      <c r="BD58" s="126"/>
      <c r="BE58" s="126"/>
      <c r="BF58" s="126"/>
      <c r="BG58" s="127">
        <f t="shared" si="9"/>
        <v>0</v>
      </c>
      <c r="BH58" s="126"/>
      <c r="BI58" s="126"/>
      <c r="BJ58" s="128"/>
      <c r="BK58" s="193" t="s">
        <v>102</v>
      </c>
      <c r="BL58" s="129"/>
      <c r="BM58" s="129"/>
      <c r="BN58" s="36"/>
      <c r="BO58" s="130"/>
      <c r="BP58" s="32"/>
      <c r="BQ58" s="32"/>
      <c r="BR58" s="131"/>
      <c r="BS58" s="32"/>
      <c r="BT58" s="32"/>
    </row>
    <row r="59">
      <c r="A59" s="89"/>
      <c r="B59" s="99"/>
      <c r="C59" s="91"/>
      <c r="D59" s="91"/>
      <c r="E59" s="92"/>
      <c r="F59" s="93"/>
      <c r="G59" s="94"/>
      <c r="H59" s="95"/>
      <c r="I59" s="96"/>
      <c r="J59" s="97" t="str">
        <f>VLOOKUP(I59,DADOS!B:F,5,0)</f>
        <v>#N/A</v>
      </c>
      <c r="K59" s="98"/>
      <c r="L59" s="99"/>
      <c r="M59" s="99"/>
      <c r="N59" s="100"/>
      <c r="O59" s="101"/>
      <c r="P59" s="185"/>
      <c r="Q59" s="100"/>
      <c r="R59" s="100"/>
      <c r="S59" s="104"/>
      <c r="T59" s="134"/>
      <c r="U59" s="104"/>
      <c r="V59" s="105"/>
      <c r="W59" s="106"/>
      <c r="X59" s="104"/>
      <c r="Y59" s="107"/>
      <c r="Z59" s="108"/>
      <c r="AA59" s="109"/>
      <c r="AB59" s="110"/>
      <c r="AC59" s="99"/>
      <c r="AD59" s="99"/>
      <c r="AE59" s="99"/>
      <c r="AF59" s="111"/>
      <c r="AG59" s="111"/>
      <c r="AH59" s="112">
        <f t="shared" si="5"/>
        <v>0</v>
      </c>
      <c r="AI59" s="113">
        <f t="shared" si="6"/>
        <v>0</v>
      </c>
      <c r="AJ59" s="114"/>
      <c r="AK59" s="100"/>
      <c r="AL59" s="100"/>
      <c r="AM59" s="115"/>
      <c r="AN59" s="116"/>
      <c r="AO59" s="99"/>
      <c r="AP59" s="117"/>
      <c r="AQ59" s="199"/>
      <c r="AR59" s="117"/>
      <c r="AS59" s="119"/>
      <c r="AT59" s="119"/>
      <c r="AU59" s="120" t="str">
        <f>VLOOKUP(I59,DADOS!B:C,2,0)</f>
        <v>#N/A</v>
      </c>
      <c r="AV59" s="121">
        <f t="shared" si="7"/>
        <v>0</v>
      </c>
      <c r="AW59" s="122"/>
      <c r="AX59" s="122"/>
      <c r="AY59" s="92"/>
      <c r="AZ59" s="123"/>
      <c r="BA59" s="124"/>
      <c r="BB59" s="125"/>
      <c r="BC59" s="126"/>
      <c r="BD59" s="126"/>
      <c r="BE59" s="126"/>
      <c r="BF59" s="126"/>
      <c r="BG59" s="127">
        <f t="shared" si="9"/>
        <v>0</v>
      </c>
      <c r="BH59" s="126"/>
      <c r="BI59" s="126"/>
      <c r="BJ59" s="128"/>
      <c r="BK59" s="193" t="s">
        <v>102</v>
      </c>
      <c r="BL59" s="129"/>
      <c r="BM59" s="129"/>
      <c r="BN59" s="36"/>
      <c r="BO59" s="130"/>
      <c r="BP59" s="32"/>
      <c r="BQ59" s="32"/>
      <c r="BR59" s="131"/>
      <c r="BS59" s="32"/>
      <c r="BT59" s="32"/>
    </row>
    <row r="60">
      <c r="A60" s="89"/>
      <c r="B60" s="99"/>
      <c r="C60" s="91"/>
      <c r="D60" s="91"/>
      <c r="E60" s="92"/>
      <c r="F60" s="93"/>
      <c r="G60" s="94"/>
      <c r="H60" s="95"/>
      <c r="I60" s="96"/>
      <c r="J60" s="97" t="str">
        <f>VLOOKUP(I60,DADOS!B:F,5,0)</f>
        <v>#N/A</v>
      </c>
      <c r="K60" s="98"/>
      <c r="L60" s="99"/>
      <c r="M60" s="99"/>
      <c r="N60" s="100"/>
      <c r="O60" s="101"/>
      <c r="P60" s="185"/>
      <c r="Q60" s="100"/>
      <c r="R60" s="100"/>
      <c r="S60" s="104"/>
      <c r="T60" s="134"/>
      <c r="U60" s="104"/>
      <c r="V60" s="105"/>
      <c r="W60" s="106"/>
      <c r="X60" s="104"/>
      <c r="Y60" s="107"/>
      <c r="Z60" s="108"/>
      <c r="AA60" s="109"/>
      <c r="AB60" s="110"/>
      <c r="AC60" s="99"/>
      <c r="AD60" s="99"/>
      <c r="AE60" s="99"/>
      <c r="AF60" s="111"/>
      <c r="AG60" s="111"/>
      <c r="AH60" s="112">
        <f t="shared" si="5"/>
        <v>0</v>
      </c>
      <c r="AI60" s="113">
        <f t="shared" si="6"/>
        <v>0</v>
      </c>
      <c r="AJ60" s="114"/>
      <c r="AK60" s="100"/>
      <c r="AL60" s="100"/>
      <c r="AM60" s="115"/>
      <c r="AN60" s="116"/>
      <c r="AO60" s="99"/>
      <c r="AP60" s="117"/>
      <c r="AQ60" s="199"/>
      <c r="AR60" s="117"/>
      <c r="AS60" s="119"/>
      <c r="AT60" s="119"/>
      <c r="AU60" s="120" t="str">
        <f>VLOOKUP(I60,DADOS!B:C,2,0)</f>
        <v>#N/A</v>
      </c>
      <c r="AV60" s="121">
        <f t="shared" si="7"/>
        <v>0</v>
      </c>
      <c r="AW60" s="122"/>
      <c r="AX60" s="122"/>
      <c r="AY60" s="92"/>
      <c r="AZ60" s="123"/>
      <c r="BA60" s="124"/>
      <c r="BB60" s="125"/>
      <c r="BC60" s="126"/>
      <c r="BD60" s="126"/>
      <c r="BE60" s="126"/>
      <c r="BF60" s="126"/>
      <c r="BG60" s="127">
        <f t="shared" si="9"/>
        <v>0</v>
      </c>
      <c r="BH60" s="126"/>
      <c r="BI60" s="126"/>
      <c r="BJ60" s="128"/>
      <c r="BK60" s="193" t="s">
        <v>102</v>
      </c>
      <c r="BL60" s="129"/>
      <c r="BM60" s="129"/>
      <c r="BN60" s="36"/>
      <c r="BO60" s="130"/>
      <c r="BP60" s="32"/>
      <c r="BQ60" s="32"/>
      <c r="BR60" s="131"/>
      <c r="BS60" s="32"/>
      <c r="BT60" s="32"/>
    </row>
    <row r="61">
      <c r="A61" s="89"/>
      <c r="B61" s="99"/>
      <c r="C61" s="91"/>
      <c r="D61" s="91"/>
      <c r="E61" s="92"/>
      <c r="F61" s="93"/>
      <c r="G61" s="94"/>
      <c r="H61" s="95"/>
      <c r="I61" s="96"/>
      <c r="J61" s="97" t="str">
        <f>VLOOKUP(I61,DADOS!B:F,5,0)</f>
        <v>#N/A</v>
      </c>
      <c r="K61" s="98"/>
      <c r="L61" s="99"/>
      <c r="M61" s="99"/>
      <c r="N61" s="100"/>
      <c r="O61" s="101"/>
      <c r="P61" s="185"/>
      <c r="Q61" s="100"/>
      <c r="R61" s="100"/>
      <c r="S61" s="104"/>
      <c r="T61" s="134"/>
      <c r="U61" s="104"/>
      <c r="V61" s="105"/>
      <c r="W61" s="106"/>
      <c r="X61" s="104"/>
      <c r="Y61" s="107"/>
      <c r="Z61" s="108"/>
      <c r="AA61" s="109"/>
      <c r="AB61" s="110"/>
      <c r="AC61" s="99"/>
      <c r="AD61" s="99"/>
      <c r="AE61" s="99"/>
      <c r="AF61" s="111"/>
      <c r="AG61" s="111"/>
      <c r="AH61" s="112">
        <f t="shared" si="5"/>
        <v>0</v>
      </c>
      <c r="AI61" s="113">
        <f t="shared" si="6"/>
        <v>0</v>
      </c>
      <c r="AJ61" s="114"/>
      <c r="AK61" s="100"/>
      <c r="AL61" s="100"/>
      <c r="AM61" s="115"/>
      <c r="AN61" s="116"/>
      <c r="AO61" s="99"/>
      <c r="AP61" s="117"/>
      <c r="AQ61" s="199"/>
      <c r="AR61" s="117"/>
      <c r="AS61" s="119"/>
      <c r="AT61" s="119"/>
      <c r="AU61" s="120" t="str">
        <f>VLOOKUP(I61,DADOS!B:C,2,0)</f>
        <v>#N/A</v>
      </c>
      <c r="AV61" s="121">
        <f t="shared" si="7"/>
        <v>0</v>
      </c>
      <c r="AW61" s="122"/>
      <c r="AX61" s="122"/>
      <c r="AY61" s="92"/>
      <c r="AZ61" s="123"/>
      <c r="BA61" s="124"/>
      <c r="BB61" s="125"/>
      <c r="BC61" s="126"/>
      <c r="BD61" s="126"/>
      <c r="BE61" s="126"/>
      <c r="BF61" s="126"/>
      <c r="BG61" s="127">
        <f t="shared" si="9"/>
        <v>0</v>
      </c>
      <c r="BH61" s="126"/>
      <c r="BI61" s="126"/>
      <c r="BJ61" s="128"/>
      <c r="BK61" s="193" t="s">
        <v>102</v>
      </c>
      <c r="BL61" s="129"/>
      <c r="BM61" s="129"/>
      <c r="BN61" s="36"/>
      <c r="BO61" s="130"/>
      <c r="BP61" s="32"/>
      <c r="BQ61" s="32"/>
      <c r="BR61" s="131"/>
      <c r="BS61" s="32"/>
      <c r="BT61" s="32"/>
    </row>
    <row r="62">
      <c r="A62" s="89"/>
      <c r="B62" s="99"/>
      <c r="C62" s="91"/>
      <c r="D62" s="91"/>
      <c r="E62" s="92"/>
      <c r="F62" s="93"/>
      <c r="G62" s="94"/>
      <c r="H62" s="95"/>
      <c r="I62" s="96"/>
      <c r="J62" s="97" t="str">
        <f>VLOOKUP(I62,DADOS!B:F,5,0)</f>
        <v>#N/A</v>
      </c>
      <c r="K62" s="98"/>
      <c r="L62" s="99"/>
      <c r="M62" s="99"/>
      <c r="N62" s="100"/>
      <c r="O62" s="101"/>
      <c r="P62" s="185"/>
      <c r="Q62" s="100"/>
      <c r="R62" s="100"/>
      <c r="S62" s="104"/>
      <c r="T62" s="134"/>
      <c r="U62" s="104"/>
      <c r="V62" s="105"/>
      <c r="W62" s="106"/>
      <c r="X62" s="104"/>
      <c r="Y62" s="107"/>
      <c r="Z62" s="108"/>
      <c r="AA62" s="109"/>
      <c r="AB62" s="110"/>
      <c r="AC62" s="99"/>
      <c r="AD62" s="99"/>
      <c r="AE62" s="99"/>
      <c r="AF62" s="111"/>
      <c r="AG62" s="111"/>
      <c r="AH62" s="112">
        <f t="shared" si="5"/>
        <v>0</v>
      </c>
      <c r="AI62" s="113">
        <f t="shared" si="6"/>
        <v>0</v>
      </c>
      <c r="AJ62" s="114"/>
      <c r="AK62" s="100"/>
      <c r="AL62" s="100"/>
      <c r="AM62" s="115"/>
      <c r="AN62" s="116"/>
      <c r="AO62" s="99"/>
      <c r="AP62" s="117"/>
      <c r="AQ62" s="199"/>
      <c r="AR62" s="117"/>
      <c r="AS62" s="119"/>
      <c r="AT62" s="119"/>
      <c r="AU62" s="120" t="str">
        <f>VLOOKUP(I62,DADOS!B:C,2,0)</f>
        <v>#N/A</v>
      </c>
      <c r="AV62" s="121">
        <f t="shared" si="7"/>
        <v>0</v>
      </c>
      <c r="AW62" s="122"/>
      <c r="AX62" s="122"/>
      <c r="AY62" s="92"/>
      <c r="AZ62" s="123"/>
      <c r="BA62" s="124"/>
      <c r="BB62" s="125"/>
      <c r="BC62" s="126"/>
      <c r="BD62" s="126"/>
      <c r="BE62" s="126"/>
      <c r="BF62" s="126"/>
      <c r="BG62" s="127">
        <f t="shared" si="9"/>
        <v>0</v>
      </c>
      <c r="BH62" s="126"/>
      <c r="BI62" s="126"/>
      <c r="BJ62" s="128"/>
      <c r="BK62" s="193" t="s">
        <v>102</v>
      </c>
      <c r="BL62" s="129"/>
      <c r="BM62" s="129"/>
      <c r="BN62" s="36"/>
      <c r="BO62" s="130"/>
      <c r="BP62" s="32"/>
      <c r="BQ62" s="32"/>
      <c r="BR62" s="131"/>
      <c r="BS62" s="32"/>
      <c r="BT62" s="32"/>
    </row>
    <row r="63">
      <c r="A63" s="89"/>
      <c r="B63" s="99"/>
      <c r="C63" s="91"/>
      <c r="D63" s="91"/>
      <c r="E63" s="92"/>
      <c r="F63" s="93"/>
      <c r="G63" s="94"/>
      <c r="H63" s="95"/>
      <c r="I63" s="96"/>
      <c r="J63" s="97" t="str">
        <f>VLOOKUP(I63,DADOS!B:F,5,0)</f>
        <v>#N/A</v>
      </c>
      <c r="K63" s="98"/>
      <c r="L63" s="99"/>
      <c r="M63" s="99"/>
      <c r="N63" s="100"/>
      <c r="O63" s="101"/>
      <c r="P63" s="185"/>
      <c r="Q63" s="100"/>
      <c r="R63" s="100"/>
      <c r="S63" s="104"/>
      <c r="T63" s="134"/>
      <c r="U63" s="104"/>
      <c r="V63" s="105"/>
      <c r="W63" s="106"/>
      <c r="X63" s="104"/>
      <c r="Y63" s="107"/>
      <c r="Z63" s="108"/>
      <c r="AA63" s="109"/>
      <c r="AB63" s="110"/>
      <c r="AC63" s="99"/>
      <c r="AD63" s="99"/>
      <c r="AE63" s="99"/>
      <c r="AF63" s="111"/>
      <c r="AG63" s="111"/>
      <c r="AH63" s="112">
        <f t="shared" si="5"/>
        <v>0</v>
      </c>
      <c r="AI63" s="113">
        <f t="shared" si="6"/>
        <v>0</v>
      </c>
      <c r="AJ63" s="114"/>
      <c r="AK63" s="100"/>
      <c r="AL63" s="100"/>
      <c r="AM63" s="115"/>
      <c r="AN63" s="116"/>
      <c r="AO63" s="99"/>
      <c r="AP63" s="117"/>
      <c r="AQ63" s="199"/>
      <c r="AR63" s="117"/>
      <c r="AS63" s="119"/>
      <c r="AT63" s="119"/>
      <c r="AU63" s="120" t="str">
        <f>VLOOKUP(I63,DADOS!B:C,2,0)</f>
        <v>#N/A</v>
      </c>
      <c r="AV63" s="121">
        <f t="shared" si="7"/>
        <v>0</v>
      </c>
      <c r="AW63" s="122"/>
      <c r="AX63" s="122"/>
      <c r="AY63" s="92"/>
      <c r="AZ63" s="123"/>
      <c r="BA63" s="124"/>
      <c r="BB63" s="125"/>
      <c r="BC63" s="126"/>
      <c r="BD63" s="126"/>
      <c r="BE63" s="126"/>
      <c r="BF63" s="126"/>
      <c r="BG63" s="127">
        <f t="shared" si="9"/>
        <v>0</v>
      </c>
      <c r="BH63" s="126"/>
      <c r="BI63" s="126"/>
      <c r="BJ63" s="128"/>
      <c r="BK63" s="193" t="s">
        <v>102</v>
      </c>
      <c r="BL63" s="129"/>
      <c r="BM63" s="129"/>
      <c r="BN63" s="36"/>
      <c r="BO63" s="130"/>
      <c r="BP63" s="32"/>
      <c r="BQ63" s="32"/>
      <c r="BR63" s="131"/>
      <c r="BS63" s="32"/>
      <c r="BT63" s="32"/>
    </row>
    <row r="64">
      <c r="A64" s="89"/>
      <c r="B64" s="99"/>
      <c r="C64" s="91"/>
      <c r="D64" s="91"/>
      <c r="E64" s="92"/>
      <c r="F64" s="93"/>
      <c r="G64" s="94"/>
      <c r="H64" s="95"/>
      <c r="I64" s="96"/>
      <c r="J64" s="97" t="str">
        <f>VLOOKUP(I64,DADOS!B:F,5,0)</f>
        <v>#N/A</v>
      </c>
      <c r="K64" s="98"/>
      <c r="L64" s="99"/>
      <c r="M64" s="99"/>
      <c r="N64" s="100"/>
      <c r="O64" s="101"/>
      <c r="P64" s="185"/>
      <c r="Q64" s="100"/>
      <c r="R64" s="100"/>
      <c r="S64" s="104"/>
      <c r="T64" s="134"/>
      <c r="U64" s="104"/>
      <c r="V64" s="105"/>
      <c r="W64" s="106"/>
      <c r="X64" s="104"/>
      <c r="Y64" s="107"/>
      <c r="Z64" s="108"/>
      <c r="AA64" s="109"/>
      <c r="AB64" s="110"/>
      <c r="AC64" s="99"/>
      <c r="AD64" s="99"/>
      <c r="AE64" s="99"/>
      <c r="AF64" s="111"/>
      <c r="AG64" s="111"/>
      <c r="AH64" s="112">
        <f t="shared" si="5"/>
        <v>0</v>
      </c>
      <c r="AI64" s="113">
        <f t="shared" si="6"/>
        <v>0</v>
      </c>
      <c r="AJ64" s="114"/>
      <c r="AK64" s="100"/>
      <c r="AL64" s="100"/>
      <c r="AM64" s="115"/>
      <c r="AN64" s="116"/>
      <c r="AO64" s="99"/>
      <c r="AP64" s="117"/>
      <c r="AQ64" s="199"/>
      <c r="AR64" s="117"/>
      <c r="AS64" s="119"/>
      <c r="AT64" s="119"/>
      <c r="AU64" s="120" t="str">
        <f>VLOOKUP(I64,DADOS!B:C,2,0)</f>
        <v>#N/A</v>
      </c>
      <c r="AV64" s="121">
        <f t="shared" si="7"/>
        <v>0</v>
      </c>
      <c r="AW64" s="122"/>
      <c r="AX64" s="122"/>
      <c r="AY64" s="92"/>
      <c r="AZ64" s="123"/>
      <c r="BA64" s="124"/>
      <c r="BB64" s="125"/>
      <c r="BC64" s="126"/>
      <c r="BD64" s="126"/>
      <c r="BE64" s="126"/>
      <c r="BF64" s="126"/>
      <c r="BG64" s="127">
        <f t="shared" si="9"/>
        <v>0</v>
      </c>
      <c r="BH64" s="126"/>
      <c r="BI64" s="126"/>
      <c r="BJ64" s="128"/>
      <c r="BK64" s="193" t="s">
        <v>102</v>
      </c>
      <c r="BL64" s="129"/>
      <c r="BM64" s="129"/>
      <c r="BN64" s="36"/>
      <c r="BO64" s="130"/>
      <c r="BP64" s="32"/>
      <c r="BQ64" s="32"/>
      <c r="BR64" s="131"/>
      <c r="BS64" s="32"/>
      <c r="BT64" s="32"/>
    </row>
    <row r="65">
      <c r="A65" s="89"/>
      <c r="B65" s="99"/>
      <c r="C65" s="91"/>
      <c r="D65" s="91"/>
      <c r="E65" s="92"/>
      <c r="F65" s="93"/>
      <c r="G65" s="94"/>
      <c r="H65" s="95"/>
      <c r="I65" s="96"/>
      <c r="J65" s="97" t="str">
        <f>VLOOKUP(I65,DADOS!B:F,5,0)</f>
        <v>#N/A</v>
      </c>
      <c r="K65" s="98"/>
      <c r="L65" s="99"/>
      <c r="M65" s="99"/>
      <c r="N65" s="100"/>
      <c r="O65" s="101"/>
      <c r="P65" s="185"/>
      <c r="Q65" s="100"/>
      <c r="R65" s="100"/>
      <c r="S65" s="104"/>
      <c r="T65" s="134"/>
      <c r="U65" s="104"/>
      <c r="V65" s="105"/>
      <c r="W65" s="106"/>
      <c r="X65" s="104"/>
      <c r="Y65" s="107"/>
      <c r="Z65" s="108"/>
      <c r="AA65" s="109"/>
      <c r="AB65" s="110"/>
      <c r="AC65" s="99"/>
      <c r="AD65" s="99"/>
      <c r="AE65" s="99"/>
      <c r="AF65" s="111"/>
      <c r="AG65" s="111"/>
      <c r="AH65" s="112">
        <f t="shared" si="5"/>
        <v>0</v>
      </c>
      <c r="AI65" s="113">
        <f t="shared" si="6"/>
        <v>0</v>
      </c>
      <c r="AJ65" s="114"/>
      <c r="AK65" s="100"/>
      <c r="AL65" s="100"/>
      <c r="AM65" s="115"/>
      <c r="AN65" s="116"/>
      <c r="AO65" s="99"/>
      <c r="AP65" s="117"/>
      <c r="AQ65" s="199"/>
      <c r="AR65" s="117"/>
      <c r="AS65" s="119"/>
      <c r="AT65" s="119"/>
      <c r="AU65" s="120" t="str">
        <f>VLOOKUP(I65,DADOS!B:C,2,0)</f>
        <v>#N/A</v>
      </c>
      <c r="AV65" s="121">
        <f t="shared" si="7"/>
        <v>0</v>
      </c>
      <c r="AW65" s="122"/>
      <c r="AX65" s="122"/>
      <c r="AY65" s="92"/>
      <c r="AZ65" s="123"/>
      <c r="BA65" s="124"/>
      <c r="BB65" s="125"/>
      <c r="BC65" s="126"/>
      <c r="BD65" s="126"/>
      <c r="BE65" s="126"/>
      <c r="BF65" s="126"/>
      <c r="BG65" s="127">
        <f t="shared" si="9"/>
        <v>0</v>
      </c>
      <c r="BH65" s="126"/>
      <c r="BI65" s="126"/>
      <c r="BJ65" s="128"/>
      <c r="BK65" s="193" t="s">
        <v>102</v>
      </c>
      <c r="BL65" s="129"/>
      <c r="BM65" s="129"/>
      <c r="BN65" s="36"/>
      <c r="BO65" s="130"/>
      <c r="BP65" s="32"/>
      <c r="BQ65" s="32"/>
      <c r="BR65" s="131"/>
      <c r="BS65" s="32"/>
      <c r="BT65" s="32"/>
    </row>
    <row r="66">
      <c r="A66" s="89"/>
      <c r="B66" s="99"/>
      <c r="C66" s="91"/>
      <c r="D66" s="91"/>
      <c r="E66" s="92"/>
      <c r="F66" s="93"/>
      <c r="G66" s="94"/>
      <c r="H66" s="95"/>
      <c r="I66" s="96"/>
      <c r="J66" s="97" t="str">
        <f>VLOOKUP(I66,DADOS!B:F,5,0)</f>
        <v>#N/A</v>
      </c>
      <c r="K66" s="98"/>
      <c r="L66" s="99"/>
      <c r="M66" s="99"/>
      <c r="N66" s="100"/>
      <c r="O66" s="101"/>
      <c r="P66" s="185"/>
      <c r="Q66" s="100"/>
      <c r="R66" s="100"/>
      <c r="S66" s="104"/>
      <c r="T66" s="134"/>
      <c r="U66" s="104"/>
      <c r="V66" s="105"/>
      <c r="W66" s="106"/>
      <c r="X66" s="104"/>
      <c r="Y66" s="107"/>
      <c r="Z66" s="108"/>
      <c r="AA66" s="109"/>
      <c r="AB66" s="110"/>
      <c r="AC66" s="99"/>
      <c r="AD66" s="99"/>
      <c r="AE66" s="99"/>
      <c r="AF66" s="111"/>
      <c r="AG66" s="111"/>
      <c r="AH66" s="112">
        <f t="shared" si="5"/>
        <v>0</v>
      </c>
      <c r="AI66" s="113">
        <f t="shared" si="6"/>
        <v>0</v>
      </c>
      <c r="AJ66" s="114"/>
      <c r="AK66" s="100"/>
      <c r="AL66" s="100"/>
      <c r="AM66" s="115"/>
      <c r="AN66" s="116"/>
      <c r="AO66" s="99"/>
      <c r="AP66" s="117"/>
      <c r="AQ66" s="199"/>
      <c r="AR66" s="117"/>
      <c r="AS66" s="119"/>
      <c r="AT66" s="119"/>
      <c r="AU66" s="120" t="str">
        <f>VLOOKUP(I66,DADOS!B:C,2,0)</f>
        <v>#N/A</v>
      </c>
      <c r="AV66" s="121">
        <f t="shared" si="7"/>
        <v>0</v>
      </c>
      <c r="AW66" s="122"/>
      <c r="AX66" s="122"/>
      <c r="AY66" s="92"/>
      <c r="AZ66" s="123"/>
      <c r="BA66" s="124"/>
      <c r="BB66" s="125"/>
      <c r="BC66" s="126"/>
      <c r="BD66" s="126"/>
      <c r="BE66" s="126"/>
      <c r="BF66" s="126"/>
      <c r="BG66" s="127">
        <f t="shared" si="9"/>
        <v>0</v>
      </c>
      <c r="BH66" s="126"/>
      <c r="BI66" s="126"/>
      <c r="BJ66" s="128"/>
      <c r="BK66" s="193" t="s">
        <v>102</v>
      </c>
      <c r="BL66" s="129"/>
      <c r="BM66" s="129"/>
      <c r="BN66" s="36"/>
      <c r="BO66" s="130"/>
      <c r="BP66" s="32"/>
      <c r="BQ66" s="32"/>
      <c r="BR66" s="131"/>
      <c r="BS66" s="32"/>
      <c r="BT66" s="32"/>
    </row>
    <row r="67">
      <c r="A67" s="89"/>
      <c r="B67" s="99"/>
      <c r="C67" s="91"/>
      <c r="D67" s="91"/>
      <c r="E67" s="92"/>
      <c r="F67" s="93"/>
      <c r="G67" s="94"/>
      <c r="H67" s="95"/>
      <c r="I67" s="96"/>
      <c r="J67" s="97" t="str">
        <f>VLOOKUP(I67,DADOS!B:F,5,0)</f>
        <v>#N/A</v>
      </c>
      <c r="K67" s="98"/>
      <c r="L67" s="99"/>
      <c r="M67" s="99"/>
      <c r="N67" s="100"/>
      <c r="O67" s="101"/>
      <c r="P67" s="185"/>
      <c r="Q67" s="100"/>
      <c r="R67" s="100"/>
      <c r="S67" s="104"/>
      <c r="T67" s="134"/>
      <c r="U67" s="104"/>
      <c r="V67" s="105"/>
      <c r="W67" s="106"/>
      <c r="X67" s="104"/>
      <c r="Y67" s="107"/>
      <c r="Z67" s="108"/>
      <c r="AA67" s="109"/>
      <c r="AB67" s="110"/>
      <c r="AC67" s="99"/>
      <c r="AD67" s="99"/>
      <c r="AE67" s="99"/>
      <c r="AF67" s="111"/>
      <c r="AG67" s="111"/>
      <c r="AH67" s="112">
        <f t="shared" si="5"/>
        <v>0</v>
      </c>
      <c r="AI67" s="113">
        <f t="shared" si="6"/>
        <v>0</v>
      </c>
      <c r="AJ67" s="114"/>
      <c r="AK67" s="100"/>
      <c r="AL67" s="100"/>
      <c r="AM67" s="115"/>
      <c r="AN67" s="116"/>
      <c r="AO67" s="99"/>
      <c r="AP67" s="117"/>
      <c r="AQ67" s="199"/>
      <c r="AR67" s="117"/>
      <c r="AS67" s="119"/>
      <c r="AT67" s="119"/>
      <c r="AU67" s="120" t="str">
        <f>VLOOKUP(I67,DADOS!B:C,2,0)</f>
        <v>#N/A</v>
      </c>
      <c r="AV67" s="121">
        <f t="shared" si="7"/>
        <v>0</v>
      </c>
      <c r="AW67" s="122"/>
      <c r="AX67" s="122"/>
      <c r="AY67" s="92"/>
      <c r="AZ67" s="123"/>
      <c r="BA67" s="124"/>
      <c r="BB67" s="125"/>
      <c r="BC67" s="126"/>
      <c r="BD67" s="126"/>
      <c r="BE67" s="126"/>
      <c r="BF67" s="126"/>
      <c r="BG67" s="127">
        <f t="shared" si="9"/>
        <v>0</v>
      </c>
      <c r="BH67" s="126"/>
      <c r="BI67" s="126"/>
      <c r="BJ67" s="128"/>
      <c r="BK67" s="193" t="s">
        <v>102</v>
      </c>
      <c r="BL67" s="129"/>
      <c r="BM67" s="129"/>
      <c r="BN67" s="36"/>
      <c r="BO67" s="130"/>
      <c r="BP67" s="32"/>
      <c r="BQ67" s="32"/>
      <c r="BR67" s="131"/>
      <c r="BS67" s="32"/>
      <c r="BT67" s="32"/>
    </row>
    <row r="68">
      <c r="A68" s="89"/>
      <c r="B68" s="99"/>
      <c r="C68" s="91"/>
      <c r="D68" s="91"/>
      <c r="E68" s="92"/>
      <c r="F68" s="93"/>
      <c r="G68" s="94"/>
      <c r="H68" s="95"/>
      <c r="I68" s="96"/>
      <c r="J68" s="97" t="str">
        <f>VLOOKUP(I68,DADOS!B:F,5,0)</f>
        <v>#N/A</v>
      </c>
      <c r="K68" s="98"/>
      <c r="L68" s="99"/>
      <c r="M68" s="99"/>
      <c r="N68" s="100"/>
      <c r="O68" s="101"/>
      <c r="P68" s="185"/>
      <c r="Q68" s="100"/>
      <c r="R68" s="100"/>
      <c r="S68" s="104"/>
      <c r="T68" s="134"/>
      <c r="U68" s="104"/>
      <c r="V68" s="105"/>
      <c r="W68" s="106"/>
      <c r="X68" s="104"/>
      <c r="Y68" s="107"/>
      <c r="Z68" s="108"/>
      <c r="AA68" s="109"/>
      <c r="AB68" s="110"/>
      <c r="AC68" s="99"/>
      <c r="AD68" s="99"/>
      <c r="AE68" s="99"/>
      <c r="AF68" s="111"/>
      <c r="AG68" s="111"/>
      <c r="AH68" s="112">
        <f t="shared" si="5"/>
        <v>0</v>
      </c>
      <c r="AI68" s="113">
        <f t="shared" si="6"/>
        <v>0</v>
      </c>
      <c r="AJ68" s="114"/>
      <c r="AK68" s="100"/>
      <c r="AL68" s="100"/>
      <c r="AM68" s="115"/>
      <c r="AN68" s="116"/>
      <c r="AO68" s="99"/>
      <c r="AP68" s="117"/>
      <c r="AQ68" s="199"/>
      <c r="AR68" s="117"/>
      <c r="AS68" s="119"/>
      <c r="AT68" s="119"/>
      <c r="AU68" s="120" t="str">
        <f>VLOOKUP(I68,DADOS!B:C,2,0)</f>
        <v>#N/A</v>
      </c>
      <c r="AV68" s="121">
        <f t="shared" si="7"/>
        <v>0</v>
      </c>
      <c r="AW68" s="122"/>
      <c r="AX68" s="122"/>
      <c r="AY68" s="92"/>
      <c r="AZ68" s="123"/>
      <c r="BA68" s="124"/>
      <c r="BB68" s="125"/>
      <c r="BC68" s="126"/>
      <c r="BD68" s="126"/>
      <c r="BE68" s="126"/>
      <c r="BF68" s="126"/>
      <c r="BG68" s="127">
        <f t="shared" si="9"/>
        <v>0</v>
      </c>
      <c r="BH68" s="126"/>
      <c r="BI68" s="126"/>
      <c r="BJ68" s="128"/>
      <c r="BK68" s="193" t="s">
        <v>102</v>
      </c>
      <c r="BL68" s="129"/>
      <c r="BM68" s="129"/>
      <c r="BN68" s="36"/>
      <c r="BO68" s="130"/>
      <c r="BP68" s="32"/>
      <c r="BQ68" s="32"/>
      <c r="BR68" s="131"/>
      <c r="BS68" s="32"/>
      <c r="BT68" s="32"/>
    </row>
    <row r="69">
      <c r="A69" s="89"/>
      <c r="B69" s="99"/>
      <c r="C69" s="91"/>
      <c r="D69" s="91"/>
      <c r="E69" s="92"/>
      <c r="F69" s="93"/>
      <c r="G69" s="94"/>
      <c r="H69" s="95"/>
      <c r="I69" s="96"/>
      <c r="J69" s="97" t="str">
        <f>VLOOKUP(I69,DADOS!B:F,5,0)</f>
        <v>#N/A</v>
      </c>
      <c r="K69" s="98"/>
      <c r="L69" s="99"/>
      <c r="M69" s="99"/>
      <c r="N69" s="100"/>
      <c r="O69" s="101"/>
      <c r="P69" s="185"/>
      <c r="Q69" s="100"/>
      <c r="R69" s="100"/>
      <c r="S69" s="104"/>
      <c r="T69" s="134"/>
      <c r="U69" s="104"/>
      <c r="V69" s="105"/>
      <c r="W69" s="106"/>
      <c r="X69" s="104"/>
      <c r="Y69" s="107"/>
      <c r="Z69" s="108"/>
      <c r="AA69" s="109"/>
      <c r="AB69" s="110"/>
      <c r="AC69" s="99"/>
      <c r="AD69" s="99"/>
      <c r="AE69" s="99"/>
      <c r="AF69" s="111"/>
      <c r="AG69" s="111"/>
      <c r="AH69" s="112">
        <f t="shared" si="5"/>
        <v>0</v>
      </c>
      <c r="AI69" s="113">
        <f t="shared" si="6"/>
        <v>0</v>
      </c>
      <c r="AJ69" s="114"/>
      <c r="AK69" s="100"/>
      <c r="AL69" s="100"/>
      <c r="AM69" s="115"/>
      <c r="AN69" s="116"/>
      <c r="AO69" s="99"/>
      <c r="AP69" s="117"/>
      <c r="AQ69" s="199"/>
      <c r="AR69" s="117"/>
      <c r="AS69" s="119"/>
      <c r="AT69" s="119"/>
      <c r="AU69" s="120" t="str">
        <f>VLOOKUP(I69,DADOS!B:C,2,0)</f>
        <v>#N/A</v>
      </c>
      <c r="AV69" s="121">
        <f t="shared" si="7"/>
        <v>0</v>
      </c>
      <c r="AW69" s="122"/>
      <c r="AX69" s="122"/>
      <c r="AY69" s="92"/>
      <c r="AZ69" s="123"/>
      <c r="BA69" s="124"/>
      <c r="BB69" s="125"/>
      <c r="BC69" s="126"/>
      <c r="BD69" s="126"/>
      <c r="BE69" s="126"/>
      <c r="BF69" s="126"/>
      <c r="BG69" s="127">
        <f t="shared" si="9"/>
        <v>0</v>
      </c>
      <c r="BH69" s="126"/>
      <c r="BI69" s="126"/>
      <c r="BJ69" s="128"/>
      <c r="BK69" s="193" t="s">
        <v>102</v>
      </c>
      <c r="BL69" s="129"/>
      <c r="BM69" s="129"/>
      <c r="BN69" s="36"/>
      <c r="BO69" s="130"/>
      <c r="BP69" s="32"/>
      <c r="BQ69" s="32"/>
      <c r="BR69" s="131"/>
      <c r="BS69" s="32"/>
      <c r="BT69" s="32"/>
    </row>
    <row r="70">
      <c r="A70" s="89"/>
      <c r="B70" s="99"/>
      <c r="C70" s="91"/>
      <c r="D70" s="91"/>
      <c r="E70" s="92"/>
      <c r="F70" s="93"/>
      <c r="G70" s="94"/>
      <c r="H70" s="95"/>
      <c r="I70" s="96"/>
      <c r="J70" s="97" t="str">
        <f>VLOOKUP(I70,DADOS!B:F,5,0)</f>
        <v>#N/A</v>
      </c>
      <c r="K70" s="98"/>
      <c r="L70" s="99"/>
      <c r="M70" s="99"/>
      <c r="N70" s="100"/>
      <c r="O70" s="101"/>
      <c r="P70" s="185"/>
      <c r="Q70" s="100"/>
      <c r="R70" s="100"/>
      <c r="S70" s="104"/>
      <c r="T70" s="134"/>
      <c r="U70" s="104"/>
      <c r="V70" s="105"/>
      <c r="W70" s="106"/>
      <c r="X70" s="104"/>
      <c r="Y70" s="107"/>
      <c r="Z70" s="108"/>
      <c r="AA70" s="109"/>
      <c r="AB70" s="110"/>
      <c r="AC70" s="99"/>
      <c r="AD70" s="99"/>
      <c r="AE70" s="99"/>
      <c r="AF70" s="111"/>
      <c r="AG70" s="111"/>
      <c r="AH70" s="112">
        <f t="shared" si="5"/>
        <v>0</v>
      </c>
      <c r="AI70" s="113">
        <f t="shared" si="6"/>
        <v>0</v>
      </c>
      <c r="AJ70" s="114"/>
      <c r="AK70" s="100"/>
      <c r="AL70" s="100"/>
      <c r="AM70" s="115"/>
      <c r="AN70" s="116"/>
      <c r="AO70" s="99"/>
      <c r="AP70" s="117"/>
      <c r="AQ70" s="199"/>
      <c r="AR70" s="117"/>
      <c r="AS70" s="119"/>
      <c r="AT70" s="119"/>
      <c r="AU70" s="120" t="str">
        <f>VLOOKUP(I70,DADOS!B:C,2,0)</f>
        <v>#N/A</v>
      </c>
      <c r="AV70" s="121">
        <f t="shared" si="7"/>
        <v>0</v>
      </c>
      <c r="AW70" s="122"/>
      <c r="AX70" s="122"/>
      <c r="AY70" s="92"/>
      <c r="AZ70" s="123"/>
      <c r="BA70" s="124"/>
      <c r="BB70" s="125"/>
      <c r="BC70" s="126"/>
      <c r="BD70" s="126"/>
      <c r="BE70" s="126"/>
      <c r="BF70" s="126"/>
      <c r="BG70" s="127">
        <f t="shared" si="9"/>
        <v>0</v>
      </c>
      <c r="BH70" s="126"/>
      <c r="BI70" s="126"/>
      <c r="BJ70" s="128"/>
      <c r="BK70" s="193" t="s">
        <v>102</v>
      </c>
      <c r="BL70" s="129"/>
      <c r="BM70" s="129"/>
      <c r="BN70" s="36"/>
      <c r="BO70" s="130"/>
      <c r="BP70" s="32"/>
      <c r="BQ70" s="32"/>
      <c r="BR70" s="131"/>
      <c r="BS70" s="32"/>
      <c r="BT70" s="32"/>
    </row>
    <row r="71">
      <c r="A71" s="89"/>
      <c r="B71" s="99"/>
      <c r="C71" s="91"/>
      <c r="D71" s="91"/>
      <c r="E71" s="92"/>
      <c r="F71" s="93"/>
      <c r="G71" s="94"/>
      <c r="H71" s="95"/>
      <c r="I71" s="96"/>
      <c r="J71" s="97" t="str">
        <f>VLOOKUP(I71,DADOS!B:F,5,0)</f>
        <v>#N/A</v>
      </c>
      <c r="K71" s="98"/>
      <c r="L71" s="99"/>
      <c r="M71" s="99"/>
      <c r="N71" s="100"/>
      <c r="O71" s="101"/>
      <c r="P71" s="185"/>
      <c r="Q71" s="100"/>
      <c r="R71" s="100"/>
      <c r="S71" s="104"/>
      <c r="T71" s="134"/>
      <c r="U71" s="104"/>
      <c r="V71" s="105"/>
      <c r="W71" s="106"/>
      <c r="X71" s="104"/>
      <c r="Y71" s="107"/>
      <c r="Z71" s="108"/>
      <c r="AA71" s="109"/>
      <c r="AB71" s="110"/>
      <c r="AC71" s="99"/>
      <c r="AD71" s="99"/>
      <c r="AE71" s="99"/>
      <c r="AF71" s="111"/>
      <c r="AG71" s="111"/>
      <c r="AH71" s="112">
        <f t="shared" si="5"/>
        <v>0</v>
      </c>
      <c r="AI71" s="113">
        <f t="shared" si="6"/>
        <v>0</v>
      </c>
      <c r="AJ71" s="114"/>
      <c r="AK71" s="100"/>
      <c r="AL71" s="100"/>
      <c r="AM71" s="115"/>
      <c r="AN71" s="116"/>
      <c r="AO71" s="99"/>
      <c r="AP71" s="117"/>
      <c r="AQ71" s="199"/>
      <c r="AR71" s="117"/>
      <c r="AS71" s="119"/>
      <c r="AT71" s="119"/>
      <c r="AU71" s="120" t="str">
        <f>VLOOKUP(I71,DADOS!B:C,2,0)</f>
        <v>#N/A</v>
      </c>
      <c r="AV71" s="121">
        <f t="shared" si="7"/>
        <v>0</v>
      </c>
      <c r="AW71" s="122"/>
      <c r="AX71" s="122"/>
      <c r="AY71" s="92"/>
      <c r="AZ71" s="123"/>
      <c r="BA71" s="124"/>
      <c r="BB71" s="125"/>
      <c r="BC71" s="126"/>
      <c r="BD71" s="126"/>
      <c r="BE71" s="126"/>
      <c r="BF71" s="126"/>
      <c r="BG71" s="127">
        <f t="shared" si="9"/>
        <v>0</v>
      </c>
      <c r="BH71" s="126"/>
      <c r="BI71" s="126"/>
      <c r="BJ71" s="128"/>
      <c r="BK71" s="193" t="s">
        <v>102</v>
      </c>
      <c r="BL71" s="129"/>
      <c r="BM71" s="129"/>
      <c r="BN71" s="36"/>
      <c r="BO71" s="130"/>
      <c r="BP71" s="32"/>
      <c r="BQ71" s="32"/>
      <c r="BR71" s="131"/>
      <c r="BS71" s="32"/>
      <c r="BT71" s="32"/>
    </row>
    <row r="72">
      <c r="A72" s="89"/>
      <c r="B72" s="99"/>
      <c r="C72" s="91"/>
      <c r="D72" s="91"/>
      <c r="E72" s="92"/>
      <c r="F72" s="93"/>
      <c r="G72" s="94"/>
      <c r="H72" s="95"/>
      <c r="I72" s="96"/>
      <c r="J72" s="97" t="str">
        <f>VLOOKUP(I72,DADOS!B:F,5,0)</f>
        <v>#N/A</v>
      </c>
      <c r="K72" s="98"/>
      <c r="L72" s="99"/>
      <c r="M72" s="99"/>
      <c r="N72" s="100"/>
      <c r="O72" s="101"/>
      <c r="P72" s="185"/>
      <c r="Q72" s="100"/>
      <c r="R72" s="100"/>
      <c r="S72" s="104"/>
      <c r="T72" s="134"/>
      <c r="U72" s="104"/>
      <c r="V72" s="105"/>
      <c r="W72" s="106"/>
      <c r="X72" s="104"/>
      <c r="Y72" s="107"/>
      <c r="Z72" s="108"/>
      <c r="AA72" s="109"/>
      <c r="AB72" s="110"/>
      <c r="AC72" s="99"/>
      <c r="AD72" s="99"/>
      <c r="AE72" s="99"/>
      <c r="AF72" s="111"/>
      <c r="AG72" s="111"/>
      <c r="AH72" s="112">
        <f t="shared" si="5"/>
        <v>0</v>
      </c>
      <c r="AI72" s="113">
        <f t="shared" si="6"/>
        <v>0</v>
      </c>
      <c r="AJ72" s="114"/>
      <c r="AK72" s="100"/>
      <c r="AL72" s="100"/>
      <c r="AM72" s="115"/>
      <c r="AN72" s="116"/>
      <c r="AO72" s="99"/>
      <c r="AP72" s="117"/>
      <c r="AQ72" s="199"/>
      <c r="AR72" s="117"/>
      <c r="AS72" s="119"/>
      <c r="AT72" s="119"/>
      <c r="AU72" s="120" t="str">
        <f>VLOOKUP(I72,DADOS!B:C,2,0)</f>
        <v>#N/A</v>
      </c>
      <c r="AV72" s="121">
        <f t="shared" si="7"/>
        <v>0</v>
      </c>
      <c r="AW72" s="122"/>
      <c r="AX72" s="122"/>
      <c r="AY72" s="92"/>
      <c r="AZ72" s="123"/>
      <c r="BA72" s="124"/>
      <c r="BB72" s="125"/>
      <c r="BC72" s="126"/>
      <c r="BD72" s="126"/>
      <c r="BE72" s="126"/>
      <c r="BF72" s="126"/>
      <c r="BG72" s="127">
        <f t="shared" si="9"/>
        <v>0</v>
      </c>
      <c r="BH72" s="126"/>
      <c r="BI72" s="126"/>
      <c r="BJ72" s="128"/>
      <c r="BK72" s="193" t="s">
        <v>102</v>
      </c>
      <c r="BL72" s="129"/>
      <c r="BM72" s="129"/>
      <c r="BN72" s="36"/>
      <c r="BO72" s="130"/>
      <c r="BP72" s="32"/>
      <c r="BQ72" s="32"/>
      <c r="BR72" s="131"/>
      <c r="BS72" s="32"/>
      <c r="BT72" s="32"/>
    </row>
    <row r="73">
      <c r="A73" s="89"/>
      <c r="B73" s="99"/>
      <c r="C73" s="91"/>
      <c r="D73" s="91"/>
      <c r="E73" s="92"/>
      <c r="F73" s="93"/>
      <c r="G73" s="94"/>
      <c r="H73" s="95"/>
      <c r="I73" s="96"/>
      <c r="J73" s="97" t="str">
        <f>VLOOKUP(I73,DADOS!B:F,5,0)</f>
        <v>#N/A</v>
      </c>
      <c r="K73" s="98"/>
      <c r="L73" s="99"/>
      <c r="M73" s="99"/>
      <c r="N73" s="100"/>
      <c r="O73" s="101"/>
      <c r="P73" s="185"/>
      <c r="Q73" s="100"/>
      <c r="R73" s="100"/>
      <c r="S73" s="104"/>
      <c r="T73" s="134"/>
      <c r="U73" s="104"/>
      <c r="V73" s="105"/>
      <c r="W73" s="106"/>
      <c r="X73" s="104"/>
      <c r="Y73" s="107"/>
      <c r="Z73" s="108"/>
      <c r="AA73" s="109"/>
      <c r="AB73" s="110"/>
      <c r="AC73" s="99"/>
      <c r="AD73" s="99"/>
      <c r="AE73" s="99"/>
      <c r="AF73" s="111"/>
      <c r="AG73" s="111"/>
      <c r="AH73" s="112">
        <f t="shared" si="5"/>
        <v>0</v>
      </c>
      <c r="AI73" s="113">
        <f t="shared" si="6"/>
        <v>0</v>
      </c>
      <c r="AJ73" s="114"/>
      <c r="AK73" s="100"/>
      <c r="AL73" s="100"/>
      <c r="AM73" s="115"/>
      <c r="AN73" s="116"/>
      <c r="AO73" s="99"/>
      <c r="AP73" s="117"/>
      <c r="AQ73" s="199"/>
      <c r="AR73" s="117"/>
      <c r="AS73" s="119"/>
      <c r="AT73" s="119"/>
      <c r="AU73" s="120" t="str">
        <f>VLOOKUP(I73,DADOS!B:C,2,0)</f>
        <v>#N/A</v>
      </c>
      <c r="AV73" s="121">
        <f t="shared" si="7"/>
        <v>0</v>
      </c>
      <c r="AW73" s="122"/>
      <c r="AX73" s="122"/>
      <c r="AY73" s="92"/>
      <c r="AZ73" s="123"/>
      <c r="BA73" s="124"/>
      <c r="BB73" s="125"/>
      <c r="BC73" s="126"/>
      <c r="BD73" s="126"/>
      <c r="BE73" s="126"/>
      <c r="BF73" s="126"/>
      <c r="BG73" s="127">
        <f t="shared" si="9"/>
        <v>0</v>
      </c>
      <c r="BH73" s="126"/>
      <c r="BI73" s="126"/>
      <c r="BJ73" s="128"/>
      <c r="BK73" s="193" t="s">
        <v>102</v>
      </c>
      <c r="BL73" s="129"/>
      <c r="BM73" s="129"/>
      <c r="BN73" s="36"/>
      <c r="BO73" s="130"/>
      <c r="BP73" s="32"/>
      <c r="BQ73" s="32"/>
      <c r="BR73" s="131"/>
      <c r="BS73" s="32"/>
      <c r="BT73" s="32"/>
    </row>
    <row r="74">
      <c r="A74" s="89"/>
      <c r="B74" s="99"/>
      <c r="C74" s="91"/>
      <c r="D74" s="91"/>
      <c r="E74" s="92"/>
      <c r="F74" s="93"/>
      <c r="G74" s="94"/>
      <c r="H74" s="95"/>
      <c r="I74" s="96"/>
      <c r="J74" s="97" t="str">
        <f>VLOOKUP(I74,DADOS!B:F,5,0)</f>
        <v>#N/A</v>
      </c>
      <c r="K74" s="98"/>
      <c r="L74" s="99"/>
      <c r="M74" s="99"/>
      <c r="N74" s="100"/>
      <c r="O74" s="101"/>
      <c r="P74" s="185"/>
      <c r="Q74" s="100"/>
      <c r="R74" s="100"/>
      <c r="S74" s="104"/>
      <c r="T74" s="134"/>
      <c r="U74" s="104"/>
      <c r="V74" s="105"/>
      <c r="W74" s="106"/>
      <c r="X74" s="104"/>
      <c r="Y74" s="107"/>
      <c r="Z74" s="108"/>
      <c r="AA74" s="109"/>
      <c r="AB74" s="110"/>
      <c r="AC74" s="99"/>
      <c r="AD74" s="99"/>
      <c r="AE74" s="99"/>
      <c r="AF74" s="111"/>
      <c r="AG74" s="111"/>
      <c r="AH74" s="112">
        <f t="shared" si="5"/>
        <v>0</v>
      </c>
      <c r="AI74" s="113">
        <f t="shared" si="6"/>
        <v>0</v>
      </c>
      <c r="AJ74" s="114"/>
      <c r="AK74" s="100"/>
      <c r="AL74" s="100"/>
      <c r="AM74" s="115"/>
      <c r="AN74" s="116"/>
      <c r="AO74" s="99"/>
      <c r="AP74" s="117"/>
      <c r="AQ74" s="199"/>
      <c r="AR74" s="117"/>
      <c r="AS74" s="119"/>
      <c r="AT74" s="119"/>
      <c r="AU74" s="120" t="str">
        <f>VLOOKUP(I74,DADOS!B:C,2,0)</f>
        <v>#N/A</v>
      </c>
      <c r="AV74" s="121">
        <f t="shared" si="7"/>
        <v>0</v>
      </c>
      <c r="AW74" s="122"/>
      <c r="AX74" s="122"/>
      <c r="AY74" s="92"/>
      <c r="AZ74" s="123"/>
      <c r="BA74" s="124"/>
      <c r="BB74" s="125"/>
      <c r="BC74" s="126"/>
      <c r="BD74" s="126"/>
      <c r="BE74" s="126"/>
      <c r="BF74" s="126"/>
      <c r="BG74" s="127">
        <f t="shared" si="9"/>
        <v>0</v>
      </c>
      <c r="BH74" s="126"/>
      <c r="BI74" s="126"/>
      <c r="BJ74" s="128"/>
      <c r="BK74" s="193" t="s">
        <v>102</v>
      </c>
      <c r="BL74" s="129"/>
      <c r="BM74" s="129"/>
      <c r="BN74" s="36"/>
      <c r="BO74" s="130"/>
      <c r="BP74" s="32"/>
      <c r="BQ74" s="32"/>
      <c r="BR74" s="131"/>
      <c r="BS74" s="32"/>
      <c r="BT74" s="32"/>
    </row>
    <row r="75">
      <c r="A75" s="89"/>
      <c r="B75" s="99"/>
      <c r="C75" s="91"/>
      <c r="D75" s="91"/>
      <c r="E75" s="92"/>
      <c r="F75" s="93"/>
      <c r="G75" s="94"/>
      <c r="H75" s="95"/>
      <c r="I75" s="96"/>
      <c r="J75" s="97" t="str">
        <f>VLOOKUP(I75,DADOS!B:F,5,0)</f>
        <v>#N/A</v>
      </c>
      <c r="K75" s="98"/>
      <c r="L75" s="99"/>
      <c r="M75" s="99"/>
      <c r="N75" s="100"/>
      <c r="O75" s="101"/>
      <c r="P75" s="185"/>
      <c r="Q75" s="100"/>
      <c r="R75" s="100"/>
      <c r="S75" s="104"/>
      <c r="T75" s="134"/>
      <c r="U75" s="104"/>
      <c r="V75" s="105"/>
      <c r="W75" s="106"/>
      <c r="X75" s="104"/>
      <c r="Y75" s="107"/>
      <c r="Z75" s="108"/>
      <c r="AA75" s="109"/>
      <c r="AB75" s="110"/>
      <c r="AC75" s="99"/>
      <c r="AD75" s="99"/>
      <c r="AE75" s="99"/>
      <c r="AF75" s="111"/>
      <c r="AG75" s="111"/>
      <c r="AH75" s="112">
        <f t="shared" si="5"/>
        <v>0</v>
      </c>
      <c r="AI75" s="113">
        <f t="shared" si="6"/>
        <v>0</v>
      </c>
      <c r="AJ75" s="114"/>
      <c r="AK75" s="100"/>
      <c r="AL75" s="100"/>
      <c r="AM75" s="115"/>
      <c r="AN75" s="116"/>
      <c r="AO75" s="99"/>
      <c r="AP75" s="117"/>
      <c r="AQ75" s="199"/>
      <c r="AR75" s="117"/>
      <c r="AS75" s="119"/>
      <c r="AT75" s="119"/>
      <c r="AU75" s="120" t="str">
        <f>VLOOKUP(I75,DADOS!B:C,2,0)</f>
        <v>#N/A</v>
      </c>
      <c r="AV75" s="121">
        <f t="shared" si="7"/>
        <v>0</v>
      </c>
      <c r="AW75" s="122"/>
      <c r="AX75" s="122"/>
      <c r="AY75" s="92"/>
      <c r="AZ75" s="123"/>
      <c r="BA75" s="124"/>
      <c r="BB75" s="125"/>
      <c r="BC75" s="126"/>
      <c r="BD75" s="126"/>
      <c r="BE75" s="126"/>
      <c r="BF75" s="126"/>
      <c r="BG75" s="127">
        <f t="shared" si="9"/>
        <v>0</v>
      </c>
      <c r="BH75" s="126"/>
      <c r="BI75" s="126"/>
      <c r="BJ75" s="128"/>
      <c r="BK75" s="193" t="s">
        <v>102</v>
      </c>
      <c r="BL75" s="129"/>
      <c r="BM75" s="129"/>
      <c r="BN75" s="36"/>
      <c r="BO75" s="130"/>
      <c r="BP75" s="32"/>
      <c r="BQ75" s="32"/>
      <c r="BR75" s="131"/>
      <c r="BS75" s="32"/>
      <c r="BT75" s="32"/>
    </row>
    <row r="76">
      <c r="A76" s="89"/>
      <c r="B76" s="99"/>
      <c r="C76" s="91"/>
      <c r="D76" s="91"/>
      <c r="E76" s="92"/>
      <c r="F76" s="93"/>
      <c r="G76" s="94"/>
      <c r="H76" s="95"/>
      <c r="I76" s="96"/>
      <c r="J76" s="97" t="str">
        <f>VLOOKUP(I76,DADOS!B:F,5,0)</f>
        <v>#N/A</v>
      </c>
      <c r="K76" s="98"/>
      <c r="L76" s="99"/>
      <c r="M76" s="99"/>
      <c r="N76" s="100"/>
      <c r="O76" s="101"/>
      <c r="P76" s="185"/>
      <c r="Q76" s="100"/>
      <c r="R76" s="100"/>
      <c r="S76" s="104"/>
      <c r="T76" s="134"/>
      <c r="U76" s="104"/>
      <c r="V76" s="105"/>
      <c r="W76" s="106"/>
      <c r="X76" s="104"/>
      <c r="Y76" s="107"/>
      <c r="Z76" s="108"/>
      <c r="AA76" s="109"/>
      <c r="AB76" s="110"/>
      <c r="AC76" s="99"/>
      <c r="AD76" s="99"/>
      <c r="AE76" s="99"/>
      <c r="AF76" s="111"/>
      <c r="AG76" s="111"/>
      <c r="AH76" s="112">
        <f t="shared" si="5"/>
        <v>0</v>
      </c>
      <c r="AI76" s="113">
        <f t="shared" si="6"/>
        <v>0</v>
      </c>
      <c r="AJ76" s="114"/>
      <c r="AK76" s="100"/>
      <c r="AL76" s="100"/>
      <c r="AM76" s="115"/>
      <c r="AN76" s="116"/>
      <c r="AO76" s="99"/>
      <c r="AP76" s="117"/>
      <c r="AQ76" s="199"/>
      <c r="AR76" s="117"/>
      <c r="AS76" s="119"/>
      <c r="AT76" s="119"/>
      <c r="AU76" s="120" t="str">
        <f>VLOOKUP(I76,DADOS!B:C,2,0)</f>
        <v>#N/A</v>
      </c>
      <c r="AV76" s="121">
        <f t="shared" si="7"/>
        <v>0</v>
      </c>
      <c r="AW76" s="122"/>
      <c r="AX76" s="122"/>
      <c r="AY76" s="92"/>
      <c r="AZ76" s="123"/>
      <c r="BA76" s="124"/>
      <c r="BB76" s="125"/>
      <c r="BC76" s="126"/>
      <c r="BD76" s="126"/>
      <c r="BE76" s="126"/>
      <c r="BF76" s="126"/>
      <c r="BG76" s="127">
        <f t="shared" si="9"/>
        <v>0</v>
      </c>
      <c r="BH76" s="126"/>
      <c r="BI76" s="126"/>
      <c r="BJ76" s="128"/>
      <c r="BK76" s="193" t="s">
        <v>102</v>
      </c>
      <c r="BL76" s="129"/>
      <c r="BM76" s="129"/>
      <c r="BN76" s="36"/>
      <c r="BO76" s="130"/>
      <c r="BP76" s="32"/>
      <c r="BQ76" s="32"/>
      <c r="BR76" s="131"/>
      <c r="BS76" s="32"/>
      <c r="BT76" s="32"/>
    </row>
    <row r="77">
      <c r="A77" s="89"/>
      <c r="B77" s="99"/>
      <c r="C77" s="91"/>
      <c r="D77" s="91"/>
      <c r="E77" s="92"/>
      <c r="F77" s="93"/>
      <c r="G77" s="94"/>
      <c r="H77" s="95"/>
      <c r="I77" s="96"/>
      <c r="J77" s="97" t="str">
        <f>VLOOKUP(I77,DADOS!B:F,5,0)</f>
        <v>#N/A</v>
      </c>
      <c r="K77" s="98"/>
      <c r="L77" s="99"/>
      <c r="M77" s="99"/>
      <c r="N77" s="100"/>
      <c r="O77" s="101"/>
      <c r="P77" s="185"/>
      <c r="Q77" s="100"/>
      <c r="R77" s="100"/>
      <c r="S77" s="104"/>
      <c r="T77" s="134"/>
      <c r="U77" s="104"/>
      <c r="V77" s="105"/>
      <c r="W77" s="106"/>
      <c r="X77" s="104"/>
      <c r="Y77" s="107"/>
      <c r="Z77" s="108"/>
      <c r="AA77" s="109"/>
      <c r="AB77" s="110"/>
      <c r="AC77" s="99"/>
      <c r="AD77" s="99"/>
      <c r="AE77" s="99"/>
      <c r="AF77" s="111"/>
      <c r="AG77" s="111"/>
      <c r="AH77" s="112">
        <f t="shared" si="5"/>
        <v>0</v>
      </c>
      <c r="AI77" s="113">
        <f t="shared" si="6"/>
        <v>0</v>
      </c>
      <c r="AJ77" s="114"/>
      <c r="AK77" s="100"/>
      <c r="AL77" s="100"/>
      <c r="AM77" s="115"/>
      <c r="AN77" s="116"/>
      <c r="AO77" s="99"/>
      <c r="AP77" s="117"/>
      <c r="AQ77" s="199"/>
      <c r="AR77" s="117"/>
      <c r="AS77" s="119"/>
      <c r="AT77" s="119"/>
      <c r="AU77" s="120" t="str">
        <f>VLOOKUP(I77,DADOS!B:C,2,0)</f>
        <v>#N/A</v>
      </c>
      <c r="AV77" s="121">
        <f t="shared" si="7"/>
        <v>0</v>
      </c>
      <c r="AW77" s="122"/>
      <c r="AX77" s="122"/>
      <c r="AY77" s="92"/>
      <c r="AZ77" s="123"/>
      <c r="BA77" s="124"/>
      <c r="BB77" s="125"/>
      <c r="BC77" s="126"/>
      <c r="BD77" s="126"/>
      <c r="BE77" s="126"/>
      <c r="BF77" s="126"/>
      <c r="BG77" s="127">
        <f t="shared" si="9"/>
        <v>0</v>
      </c>
      <c r="BH77" s="126"/>
      <c r="BI77" s="126"/>
      <c r="BJ77" s="128"/>
      <c r="BK77" s="193" t="s">
        <v>102</v>
      </c>
      <c r="BL77" s="129"/>
      <c r="BM77" s="129"/>
      <c r="BN77" s="36"/>
      <c r="BO77" s="130"/>
      <c r="BP77" s="32"/>
      <c r="BQ77" s="32"/>
      <c r="BR77" s="131"/>
      <c r="BS77" s="32"/>
      <c r="BT77" s="32"/>
    </row>
    <row r="78">
      <c r="A78" s="89"/>
      <c r="B78" s="99"/>
      <c r="C78" s="91"/>
      <c r="D78" s="91"/>
      <c r="E78" s="92"/>
      <c r="F78" s="93"/>
      <c r="G78" s="94"/>
      <c r="H78" s="95"/>
      <c r="I78" s="96"/>
      <c r="J78" s="97" t="str">
        <f>VLOOKUP(I78,DADOS!B:F,5,0)</f>
        <v>#N/A</v>
      </c>
      <c r="K78" s="98"/>
      <c r="L78" s="99"/>
      <c r="M78" s="99"/>
      <c r="N78" s="100"/>
      <c r="O78" s="101"/>
      <c r="P78" s="185"/>
      <c r="Q78" s="100"/>
      <c r="R78" s="100"/>
      <c r="S78" s="104"/>
      <c r="T78" s="134"/>
      <c r="U78" s="104"/>
      <c r="V78" s="105"/>
      <c r="W78" s="106"/>
      <c r="X78" s="104"/>
      <c r="Y78" s="107"/>
      <c r="Z78" s="108"/>
      <c r="AA78" s="109"/>
      <c r="AB78" s="110"/>
      <c r="AC78" s="99"/>
      <c r="AD78" s="99"/>
      <c r="AE78" s="99"/>
      <c r="AF78" s="111"/>
      <c r="AG78" s="111"/>
      <c r="AH78" s="112">
        <f t="shared" si="5"/>
        <v>0</v>
      </c>
      <c r="AI78" s="113">
        <f t="shared" si="6"/>
        <v>0</v>
      </c>
      <c r="AJ78" s="114"/>
      <c r="AK78" s="100"/>
      <c r="AL78" s="100"/>
      <c r="AM78" s="115"/>
      <c r="AN78" s="116"/>
      <c r="AO78" s="99"/>
      <c r="AP78" s="117"/>
      <c r="AQ78" s="199"/>
      <c r="AR78" s="117"/>
      <c r="AS78" s="119"/>
      <c r="AT78" s="119"/>
      <c r="AU78" s="120" t="str">
        <f>VLOOKUP(I78,DADOS!B:C,2,0)</f>
        <v>#N/A</v>
      </c>
      <c r="AV78" s="121">
        <f t="shared" si="7"/>
        <v>0</v>
      </c>
      <c r="AW78" s="122"/>
      <c r="AX78" s="122"/>
      <c r="AY78" s="92"/>
      <c r="AZ78" s="123"/>
      <c r="BA78" s="124"/>
      <c r="BB78" s="125"/>
      <c r="BC78" s="126"/>
      <c r="BD78" s="126"/>
      <c r="BE78" s="126"/>
      <c r="BF78" s="126"/>
      <c r="BG78" s="127">
        <f t="shared" si="9"/>
        <v>0</v>
      </c>
      <c r="BH78" s="126"/>
      <c r="BI78" s="126"/>
      <c r="BJ78" s="128"/>
      <c r="BK78" s="193" t="s">
        <v>102</v>
      </c>
      <c r="BL78" s="129"/>
      <c r="BM78" s="129"/>
      <c r="BN78" s="36"/>
      <c r="BO78" s="130"/>
      <c r="BP78" s="32"/>
      <c r="BQ78" s="32"/>
      <c r="BR78" s="131"/>
      <c r="BS78" s="32"/>
      <c r="BT78" s="32"/>
    </row>
    <row r="79">
      <c r="A79" s="89"/>
      <c r="B79" s="99"/>
      <c r="C79" s="91"/>
      <c r="D79" s="91"/>
      <c r="E79" s="92"/>
      <c r="F79" s="93"/>
      <c r="G79" s="94"/>
      <c r="H79" s="95"/>
      <c r="I79" s="96"/>
      <c r="J79" s="97" t="str">
        <f>VLOOKUP(I79,DADOS!B:F,5,0)</f>
        <v>#N/A</v>
      </c>
      <c r="K79" s="98"/>
      <c r="L79" s="99"/>
      <c r="M79" s="99"/>
      <c r="N79" s="100"/>
      <c r="O79" s="101"/>
      <c r="P79" s="185"/>
      <c r="Q79" s="100"/>
      <c r="R79" s="100"/>
      <c r="S79" s="104"/>
      <c r="T79" s="134"/>
      <c r="U79" s="104"/>
      <c r="V79" s="105"/>
      <c r="W79" s="106"/>
      <c r="X79" s="104"/>
      <c r="Y79" s="107"/>
      <c r="Z79" s="108"/>
      <c r="AA79" s="109"/>
      <c r="AB79" s="110"/>
      <c r="AC79" s="99"/>
      <c r="AD79" s="99"/>
      <c r="AE79" s="99"/>
      <c r="AF79" s="111"/>
      <c r="AG79" s="111"/>
      <c r="AH79" s="112">
        <f t="shared" si="5"/>
        <v>0</v>
      </c>
      <c r="AI79" s="113">
        <f t="shared" si="6"/>
        <v>0</v>
      </c>
      <c r="AJ79" s="114"/>
      <c r="AK79" s="100"/>
      <c r="AL79" s="100"/>
      <c r="AM79" s="115"/>
      <c r="AN79" s="116"/>
      <c r="AO79" s="99"/>
      <c r="AP79" s="117"/>
      <c r="AQ79" s="199"/>
      <c r="AR79" s="117"/>
      <c r="AS79" s="119"/>
      <c r="AT79" s="119"/>
      <c r="AU79" s="120" t="str">
        <f>VLOOKUP(I79,DADOS!B:C,2,0)</f>
        <v>#N/A</v>
      </c>
      <c r="AV79" s="121">
        <f t="shared" si="7"/>
        <v>0</v>
      </c>
      <c r="AW79" s="122"/>
      <c r="AX79" s="122"/>
      <c r="AY79" s="92"/>
      <c r="AZ79" s="123"/>
      <c r="BA79" s="124"/>
      <c r="BB79" s="125"/>
      <c r="BC79" s="126"/>
      <c r="BD79" s="126"/>
      <c r="BE79" s="126"/>
      <c r="BF79" s="126"/>
      <c r="BG79" s="127">
        <f t="shared" si="9"/>
        <v>0</v>
      </c>
      <c r="BH79" s="126"/>
      <c r="BI79" s="126"/>
      <c r="BJ79" s="128"/>
      <c r="BK79" s="193" t="s">
        <v>102</v>
      </c>
      <c r="BL79" s="129"/>
      <c r="BM79" s="129"/>
      <c r="BN79" s="36"/>
      <c r="BO79" s="130"/>
      <c r="BP79" s="32"/>
      <c r="BQ79" s="32"/>
      <c r="BR79" s="131"/>
      <c r="BS79" s="32"/>
      <c r="BT79" s="32"/>
    </row>
    <row r="80">
      <c r="A80" s="89"/>
      <c r="B80" s="99"/>
      <c r="C80" s="91"/>
      <c r="D80" s="91"/>
      <c r="E80" s="92"/>
      <c r="F80" s="93"/>
      <c r="G80" s="94"/>
      <c r="H80" s="95"/>
      <c r="I80" s="96"/>
      <c r="J80" s="97" t="str">
        <f>VLOOKUP(I80,DADOS!B:F,5,0)</f>
        <v>#N/A</v>
      </c>
      <c r="K80" s="98"/>
      <c r="L80" s="99"/>
      <c r="M80" s="99"/>
      <c r="N80" s="100"/>
      <c r="O80" s="101"/>
      <c r="P80" s="185"/>
      <c r="Q80" s="100"/>
      <c r="R80" s="100"/>
      <c r="S80" s="104"/>
      <c r="T80" s="134"/>
      <c r="U80" s="104"/>
      <c r="V80" s="105"/>
      <c r="W80" s="106"/>
      <c r="X80" s="104"/>
      <c r="Y80" s="107"/>
      <c r="Z80" s="108"/>
      <c r="AA80" s="109"/>
      <c r="AB80" s="110"/>
      <c r="AC80" s="99"/>
      <c r="AD80" s="99"/>
      <c r="AE80" s="99"/>
      <c r="AF80" s="111"/>
      <c r="AG80" s="111"/>
      <c r="AH80" s="112">
        <f t="shared" si="5"/>
        <v>0</v>
      </c>
      <c r="AI80" s="113">
        <f t="shared" si="6"/>
        <v>0</v>
      </c>
      <c r="AJ80" s="114"/>
      <c r="AK80" s="100"/>
      <c r="AL80" s="100"/>
      <c r="AM80" s="115"/>
      <c r="AN80" s="116"/>
      <c r="AO80" s="99"/>
      <c r="AP80" s="117"/>
      <c r="AQ80" s="199"/>
      <c r="AR80" s="117"/>
      <c r="AS80" s="119"/>
      <c r="AT80" s="119"/>
      <c r="AU80" s="120" t="str">
        <f>VLOOKUP(I80,DADOS!B:C,2,0)</f>
        <v>#N/A</v>
      </c>
      <c r="AV80" s="121">
        <f t="shared" si="7"/>
        <v>0</v>
      </c>
      <c r="AW80" s="122"/>
      <c r="AX80" s="122"/>
      <c r="AY80" s="92"/>
      <c r="AZ80" s="123"/>
      <c r="BA80" s="124"/>
      <c r="BB80" s="125"/>
      <c r="BC80" s="126"/>
      <c r="BD80" s="126"/>
      <c r="BE80" s="126"/>
      <c r="BF80" s="126"/>
      <c r="BG80" s="127">
        <f t="shared" si="9"/>
        <v>0</v>
      </c>
      <c r="BH80" s="126"/>
      <c r="BI80" s="126"/>
      <c r="BJ80" s="128"/>
      <c r="BK80" s="193" t="s">
        <v>102</v>
      </c>
      <c r="BL80" s="129"/>
      <c r="BM80" s="129"/>
      <c r="BN80" s="36"/>
      <c r="BO80" s="130"/>
      <c r="BP80" s="32"/>
      <c r="BQ80" s="32"/>
      <c r="BR80" s="131"/>
      <c r="BS80" s="32"/>
      <c r="BT80" s="32"/>
    </row>
    <row r="81">
      <c r="A81" s="89"/>
      <c r="B81" s="99"/>
      <c r="C81" s="91"/>
      <c r="D81" s="91"/>
      <c r="E81" s="92"/>
      <c r="F81" s="93"/>
      <c r="G81" s="94"/>
      <c r="H81" s="95"/>
      <c r="I81" s="96"/>
      <c r="J81" s="97" t="str">
        <f>VLOOKUP(I81,DADOS!B:F,5,0)</f>
        <v>#N/A</v>
      </c>
      <c r="K81" s="98"/>
      <c r="L81" s="99"/>
      <c r="M81" s="99"/>
      <c r="N81" s="100"/>
      <c r="O81" s="101"/>
      <c r="P81" s="185"/>
      <c r="Q81" s="100"/>
      <c r="R81" s="100"/>
      <c r="S81" s="104"/>
      <c r="T81" s="134"/>
      <c r="U81" s="104"/>
      <c r="V81" s="105"/>
      <c r="W81" s="106"/>
      <c r="X81" s="104"/>
      <c r="Y81" s="107"/>
      <c r="Z81" s="108"/>
      <c r="AA81" s="109"/>
      <c r="AB81" s="110"/>
      <c r="AC81" s="99"/>
      <c r="AD81" s="99"/>
      <c r="AE81" s="99"/>
      <c r="AF81" s="111"/>
      <c r="AG81" s="111"/>
      <c r="AH81" s="112">
        <f t="shared" si="5"/>
        <v>0</v>
      </c>
      <c r="AI81" s="113">
        <f t="shared" si="6"/>
        <v>0</v>
      </c>
      <c r="AJ81" s="114"/>
      <c r="AK81" s="100"/>
      <c r="AL81" s="100"/>
      <c r="AM81" s="115"/>
      <c r="AN81" s="116"/>
      <c r="AO81" s="99"/>
      <c r="AP81" s="117"/>
      <c r="AQ81" s="199"/>
      <c r="AR81" s="117"/>
      <c r="AS81" s="119"/>
      <c r="AT81" s="119"/>
      <c r="AU81" s="120" t="str">
        <f>VLOOKUP(I81,DADOS!B:C,2,0)</f>
        <v>#N/A</v>
      </c>
      <c r="AV81" s="121">
        <f t="shared" si="7"/>
        <v>0</v>
      </c>
      <c r="AW81" s="122"/>
      <c r="AX81" s="122"/>
      <c r="AY81" s="92"/>
      <c r="AZ81" s="123"/>
      <c r="BA81" s="124"/>
      <c r="BB81" s="125"/>
      <c r="BC81" s="126"/>
      <c r="BD81" s="126"/>
      <c r="BE81" s="126"/>
      <c r="BF81" s="126"/>
      <c r="BG81" s="127">
        <f t="shared" si="9"/>
        <v>0</v>
      </c>
      <c r="BH81" s="126"/>
      <c r="BI81" s="126"/>
      <c r="BJ81" s="128"/>
      <c r="BK81" s="193" t="s">
        <v>102</v>
      </c>
      <c r="BL81" s="129"/>
      <c r="BM81" s="129"/>
      <c r="BN81" s="36"/>
      <c r="BO81" s="130"/>
      <c r="BP81" s="32"/>
      <c r="BQ81" s="32"/>
      <c r="BR81" s="131"/>
      <c r="BS81" s="32"/>
      <c r="BT81" s="32"/>
    </row>
    <row r="82">
      <c r="A82" s="89"/>
      <c r="B82" s="99"/>
      <c r="C82" s="91"/>
      <c r="D82" s="91"/>
      <c r="E82" s="92"/>
      <c r="F82" s="93"/>
      <c r="G82" s="94"/>
      <c r="H82" s="95"/>
      <c r="I82" s="96"/>
      <c r="J82" s="97" t="str">
        <f>VLOOKUP(I82,DADOS!B:F,5,0)</f>
        <v>#N/A</v>
      </c>
      <c r="K82" s="98"/>
      <c r="L82" s="99"/>
      <c r="M82" s="99"/>
      <c r="N82" s="100"/>
      <c r="O82" s="101"/>
      <c r="P82" s="185"/>
      <c r="Q82" s="100"/>
      <c r="R82" s="100"/>
      <c r="S82" s="104"/>
      <c r="T82" s="134"/>
      <c r="U82" s="104"/>
      <c r="V82" s="105"/>
      <c r="W82" s="106"/>
      <c r="X82" s="104"/>
      <c r="Y82" s="107"/>
      <c r="Z82" s="108"/>
      <c r="AA82" s="109"/>
      <c r="AB82" s="110"/>
      <c r="AC82" s="99"/>
      <c r="AD82" s="99"/>
      <c r="AE82" s="99"/>
      <c r="AF82" s="111"/>
      <c r="AG82" s="111"/>
      <c r="AH82" s="112">
        <f t="shared" si="5"/>
        <v>0</v>
      </c>
      <c r="AI82" s="113">
        <f t="shared" si="6"/>
        <v>0</v>
      </c>
      <c r="AJ82" s="114"/>
      <c r="AK82" s="100"/>
      <c r="AL82" s="100"/>
      <c r="AM82" s="115"/>
      <c r="AN82" s="116"/>
      <c r="AO82" s="99"/>
      <c r="AP82" s="117"/>
      <c r="AQ82" s="199"/>
      <c r="AR82" s="117"/>
      <c r="AS82" s="119"/>
      <c r="AT82" s="119"/>
      <c r="AU82" s="120" t="str">
        <f>VLOOKUP(I82,DADOS!B:C,2,0)</f>
        <v>#N/A</v>
      </c>
      <c r="AV82" s="121">
        <f t="shared" si="7"/>
        <v>0</v>
      </c>
      <c r="AW82" s="122"/>
      <c r="AX82" s="122"/>
      <c r="AY82" s="92"/>
      <c r="AZ82" s="123"/>
      <c r="BA82" s="124"/>
      <c r="BB82" s="125"/>
      <c r="BC82" s="126"/>
      <c r="BD82" s="126"/>
      <c r="BE82" s="126"/>
      <c r="BF82" s="126"/>
      <c r="BG82" s="127">
        <f t="shared" si="9"/>
        <v>0</v>
      </c>
      <c r="BH82" s="126"/>
      <c r="BI82" s="126"/>
      <c r="BJ82" s="128"/>
      <c r="BK82" s="193" t="s">
        <v>102</v>
      </c>
      <c r="BL82" s="129"/>
      <c r="BM82" s="129"/>
      <c r="BN82" s="36"/>
      <c r="BO82" s="130"/>
      <c r="BP82" s="32"/>
      <c r="BQ82" s="32"/>
      <c r="BR82" s="131"/>
      <c r="BS82" s="32"/>
      <c r="BT82" s="32"/>
    </row>
    <row r="83">
      <c r="A83" s="89"/>
      <c r="B83" s="99"/>
      <c r="C83" s="91"/>
      <c r="D83" s="91"/>
      <c r="E83" s="92"/>
      <c r="F83" s="93"/>
      <c r="G83" s="94"/>
      <c r="H83" s="95"/>
      <c r="I83" s="96"/>
      <c r="J83" s="97" t="str">
        <f>VLOOKUP(I83,DADOS!B:F,5,0)</f>
        <v>#N/A</v>
      </c>
      <c r="K83" s="98"/>
      <c r="L83" s="99"/>
      <c r="M83" s="99"/>
      <c r="N83" s="100"/>
      <c r="O83" s="101"/>
      <c r="P83" s="185"/>
      <c r="Q83" s="100"/>
      <c r="R83" s="100"/>
      <c r="S83" s="104"/>
      <c r="T83" s="134"/>
      <c r="U83" s="104"/>
      <c r="V83" s="105"/>
      <c r="W83" s="106"/>
      <c r="X83" s="104"/>
      <c r="Y83" s="107"/>
      <c r="Z83" s="108"/>
      <c r="AA83" s="109"/>
      <c r="AB83" s="110"/>
      <c r="AC83" s="99"/>
      <c r="AD83" s="99"/>
      <c r="AE83" s="99"/>
      <c r="AF83" s="111"/>
      <c r="AG83" s="111"/>
      <c r="AH83" s="112">
        <f t="shared" si="5"/>
        <v>0</v>
      </c>
      <c r="AI83" s="113">
        <f t="shared" si="6"/>
        <v>0</v>
      </c>
      <c r="AJ83" s="114"/>
      <c r="AK83" s="100"/>
      <c r="AL83" s="100"/>
      <c r="AM83" s="115"/>
      <c r="AN83" s="116"/>
      <c r="AO83" s="99"/>
      <c r="AP83" s="117"/>
      <c r="AQ83" s="199"/>
      <c r="AR83" s="117"/>
      <c r="AS83" s="119"/>
      <c r="AT83" s="119"/>
      <c r="AU83" s="120" t="str">
        <f>VLOOKUP(I83,DADOS!B:C,2,0)</f>
        <v>#N/A</v>
      </c>
      <c r="AV83" s="121">
        <f t="shared" si="7"/>
        <v>0</v>
      </c>
      <c r="AW83" s="122"/>
      <c r="AX83" s="122"/>
      <c r="AY83" s="92"/>
      <c r="AZ83" s="123"/>
      <c r="BA83" s="124"/>
      <c r="BB83" s="125"/>
      <c r="BC83" s="126"/>
      <c r="BD83" s="126"/>
      <c r="BE83" s="126"/>
      <c r="BF83" s="126"/>
      <c r="BG83" s="127">
        <f t="shared" si="9"/>
        <v>0</v>
      </c>
      <c r="BH83" s="126"/>
      <c r="BI83" s="126"/>
      <c r="BJ83" s="128"/>
      <c r="BK83" s="193" t="s">
        <v>102</v>
      </c>
      <c r="BL83" s="129"/>
      <c r="BM83" s="129"/>
      <c r="BN83" s="36"/>
      <c r="BO83" s="130"/>
      <c r="BP83" s="32"/>
      <c r="BQ83" s="32"/>
      <c r="BR83" s="131"/>
      <c r="BS83" s="32"/>
      <c r="BT83" s="32"/>
    </row>
    <row r="84">
      <c r="A84" s="89"/>
      <c r="B84" s="99"/>
      <c r="C84" s="91"/>
      <c r="D84" s="91"/>
      <c r="E84" s="92"/>
      <c r="F84" s="93"/>
      <c r="G84" s="94"/>
      <c r="H84" s="95"/>
      <c r="I84" s="96"/>
      <c r="J84" s="97" t="str">
        <f>VLOOKUP(I84,DADOS!B:F,5,0)</f>
        <v>#N/A</v>
      </c>
      <c r="K84" s="98"/>
      <c r="L84" s="99"/>
      <c r="M84" s="99"/>
      <c r="N84" s="100"/>
      <c r="O84" s="101"/>
      <c r="P84" s="185"/>
      <c r="Q84" s="100"/>
      <c r="R84" s="100"/>
      <c r="S84" s="104"/>
      <c r="T84" s="134"/>
      <c r="U84" s="104"/>
      <c r="V84" s="105"/>
      <c r="W84" s="106"/>
      <c r="X84" s="104"/>
      <c r="Y84" s="107"/>
      <c r="Z84" s="108"/>
      <c r="AA84" s="109"/>
      <c r="AB84" s="110"/>
      <c r="AC84" s="99"/>
      <c r="AD84" s="99"/>
      <c r="AE84" s="99"/>
      <c r="AF84" s="111"/>
      <c r="AG84" s="111"/>
      <c r="AH84" s="112">
        <f t="shared" si="5"/>
        <v>0</v>
      </c>
      <c r="AI84" s="113">
        <f t="shared" si="6"/>
        <v>0</v>
      </c>
      <c r="AJ84" s="114"/>
      <c r="AK84" s="100"/>
      <c r="AL84" s="100"/>
      <c r="AM84" s="115"/>
      <c r="AN84" s="116"/>
      <c r="AO84" s="99"/>
      <c r="AP84" s="117"/>
      <c r="AQ84" s="199"/>
      <c r="AR84" s="117"/>
      <c r="AS84" s="119"/>
      <c r="AT84" s="119"/>
      <c r="AU84" s="120" t="str">
        <f>VLOOKUP(I84,DADOS!B:C,2,0)</f>
        <v>#N/A</v>
      </c>
      <c r="AV84" s="121">
        <f t="shared" si="7"/>
        <v>0</v>
      </c>
      <c r="AW84" s="122"/>
      <c r="AX84" s="122"/>
      <c r="AY84" s="92"/>
      <c r="AZ84" s="123"/>
      <c r="BA84" s="124"/>
      <c r="BB84" s="125"/>
      <c r="BC84" s="126"/>
      <c r="BD84" s="126"/>
      <c r="BE84" s="126"/>
      <c r="BF84" s="126"/>
      <c r="BG84" s="127">
        <f t="shared" si="9"/>
        <v>0</v>
      </c>
      <c r="BH84" s="126"/>
      <c r="BI84" s="126"/>
      <c r="BJ84" s="128"/>
      <c r="BK84" s="193" t="s">
        <v>102</v>
      </c>
      <c r="BL84" s="129"/>
      <c r="BM84" s="129"/>
      <c r="BN84" s="36"/>
      <c r="BO84" s="130"/>
      <c r="BP84" s="32"/>
      <c r="BQ84" s="32"/>
      <c r="BR84" s="131"/>
      <c r="BS84" s="32"/>
      <c r="BT84" s="32"/>
    </row>
    <row r="85">
      <c r="A85" s="89"/>
      <c r="B85" s="99"/>
      <c r="C85" s="91"/>
      <c r="D85" s="91"/>
      <c r="E85" s="92"/>
      <c r="F85" s="93"/>
      <c r="G85" s="94"/>
      <c r="H85" s="95"/>
      <c r="I85" s="96"/>
      <c r="J85" s="97" t="str">
        <f>VLOOKUP(I85,DADOS!B:F,5,0)</f>
        <v>#N/A</v>
      </c>
      <c r="K85" s="98"/>
      <c r="L85" s="99"/>
      <c r="M85" s="99"/>
      <c r="N85" s="100"/>
      <c r="O85" s="101"/>
      <c r="P85" s="185"/>
      <c r="Q85" s="100"/>
      <c r="R85" s="100"/>
      <c r="S85" s="104"/>
      <c r="T85" s="134"/>
      <c r="U85" s="104"/>
      <c r="V85" s="105"/>
      <c r="W85" s="106"/>
      <c r="X85" s="104"/>
      <c r="Y85" s="107"/>
      <c r="Z85" s="108"/>
      <c r="AA85" s="109"/>
      <c r="AB85" s="110"/>
      <c r="AC85" s="99"/>
      <c r="AD85" s="99"/>
      <c r="AE85" s="99"/>
      <c r="AF85" s="111"/>
      <c r="AG85" s="111"/>
      <c r="AH85" s="112">
        <f t="shared" si="5"/>
        <v>0</v>
      </c>
      <c r="AI85" s="113">
        <f t="shared" si="6"/>
        <v>0</v>
      </c>
      <c r="AJ85" s="114"/>
      <c r="AK85" s="100"/>
      <c r="AL85" s="100"/>
      <c r="AM85" s="115"/>
      <c r="AN85" s="116"/>
      <c r="AO85" s="99"/>
      <c r="AP85" s="117"/>
      <c r="AQ85" s="199"/>
      <c r="AR85" s="117"/>
      <c r="AS85" s="119"/>
      <c r="AT85" s="119"/>
      <c r="AU85" s="120" t="str">
        <f>VLOOKUP(I85,DADOS!B:C,2,0)</f>
        <v>#N/A</v>
      </c>
      <c r="AV85" s="121">
        <f t="shared" si="7"/>
        <v>0</v>
      </c>
      <c r="AW85" s="122"/>
      <c r="AX85" s="122"/>
      <c r="AY85" s="92"/>
      <c r="AZ85" s="123"/>
      <c r="BA85" s="124"/>
      <c r="BB85" s="125"/>
      <c r="BC85" s="126"/>
      <c r="BD85" s="126"/>
      <c r="BE85" s="126"/>
      <c r="BF85" s="126"/>
      <c r="BG85" s="127">
        <f t="shared" si="9"/>
        <v>0</v>
      </c>
      <c r="BH85" s="126"/>
      <c r="BI85" s="126"/>
      <c r="BJ85" s="128"/>
      <c r="BK85" s="193" t="s">
        <v>102</v>
      </c>
      <c r="BL85" s="129"/>
      <c r="BM85" s="129"/>
      <c r="BN85" s="36"/>
      <c r="BO85" s="130"/>
      <c r="BP85" s="32"/>
      <c r="BQ85" s="32"/>
      <c r="BR85" s="131"/>
      <c r="BS85" s="32"/>
      <c r="BT85" s="32"/>
    </row>
    <row r="86">
      <c r="A86" s="89"/>
      <c r="B86" s="99"/>
      <c r="C86" s="91"/>
      <c r="D86" s="91"/>
      <c r="E86" s="92"/>
      <c r="F86" s="93"/>
      <c r="G86" s="94"/>
      <c r="H86" s="95"/>
      <c r="I86" s="96"/>
      <c r="J86" s="97" t="str">
        <f>VLOOKUP(I86,DADOS!B:F,5,0)</f>
        <v>#N/A</v>
      </c>
      <c r="K86" s="98"/>
      <c r="L86" s="99"/>
      <c r="M86" s="99"/>
      <c r="N86" s="100"/>
      <c r="O86" s="101"/>
      <c r="P86" s="185"/>
      <c r="Q86" s="100"/>
      <c r="R86" s="100"/>
      <c r="S86" s="104"/>
      <c r="T86" s="134"/>
      <c r="U86" s="104"/>
      <c r="V86" s="105"/>
      <c r="W86" s="106"/>
      <c r="X86" s="104"/>
      <c r="Y86" s="107"/>
      <c r="Z86" s="108"/>
      <c r="AA86" s="109"/>
      <c r="AB86" s="110"/>
      <c r="AC86" s="99"/>
      <c r="AD86" s="99"/>
      <c r="AE86" s="99"/>
      <c r="AF86" s="111"/>
      <c r="AG86" s="111"/>
      <c r="AH86" s="112">
        <f t="shared" si="5"/>
        <v>0</v>
      </c>
      <c r="AI86" s="113">
        <f t="shared" si="6"/>
        <v>0</v>
      </c>
      <c r="AJ86" s="114"/>
      <c r="AK86" s="100"/>
      <c r="AL86" s="100"/>
      <c r="AM86" s="115"/>
      <c r="AN86" s="116"/>
      <c r="AO86" s="99"/>
      <c r="AP86" s="117"/>
      <c r="AQ86" s="199"/>
      <c r="AR86" s="117"/>
      <c r="AS86" s="119"/>
      <c r="AT86" s="119"/>
      <c r="AU86" s="120" t="str">
        <f>VLOOKUP(I86,DADOS!B:C,2,0)</f>
        <v>#N/A</v>
      </c>
      <c r="AV86" s="121">
        <f t="shared" si="7"/>
        <v>0</v>
      </c>
      <c r="AW86" s="122"/>
      <c r="AX86" s="122"/>
      <c r="AY86" s="92"/>
      <c r="AZ86" s="123"/>
      <c r="BA86" s="124"/>
      <c r="BB86" s="125"/>
      <c r="BC86" s="126"/>
      <c r="BD86" s="126"/>
      <c r="BE86" s="126"/>
      <c r="BF86" s="126"/>
      <c r="BG86" s="127">
        <f t="shared" si="9"/>
        <v>0</v>
      </c>
      <c r="BH86" s="126"/>
      <c r="BI86" s="126"/>
      <c r="BJ86" s="128"/>
      <c r="BK86" s="193" t="s">
        <v>102</v>
      </c>
      <c r="BL86" s="129"/>
      <c r="BM86" s="129"/>
      <c r="BN86" s="36"/>
      <c r="BO86" s="130"/>
      <c r="BP86" s="32"/>
      <c r="BQ86" s="32"/>
      <c r="BR86" s="131"/>
      <c r="BS86" s="32"/>
      <c r="BT86" s="32"/>
    </row>
    <row r="87">
      <c r="A87" s="89"/>
      <c r="B87" s="99"/>
      <c r="C87" s="91"/>
      <c r="D87" s="91"/>
      <c r="E87" s="92"/>
      <c r="F87" s="93"/>
      <c r="G87" s="94"/>
      <c r="H87" s="95"/>
      <c r="I87" s="96"/>
      <c r="J87" s="97" t="str">
        <f>VLOOKUP(I87,DADOS!B:F,5,0)</f>
        <v>#N/A</v>
      </c>
      <c r="K87" s="98"/>
      <c r="L87" s="99"/>
      <c r="M87" s="99"/>
      <c r="N87" s="100"/>
      <c r="O87" s="101"/>
      <c r="P87" s="185"/>
      <c r="Q87" s="100"/>
      <c r="R87" s="100"/>
      <c r="S87" s="104"/>
      <c r="T87" s="134"/>
      <c r="U87" s="104"/>
      <c r="V87" s="105"/>
      <c r="W87" s="106"/>
      <c r="X87" s="104"/>
      <c r="Y87" s="107"/>
      <c r="Z87" s="108"/>
      <c r="AA87" s="109"/>
      <c r="AB87" s="110"/>
      <c r="AC87" s="99"/>
      <c r="AD87" s="99"/>
      <c r="AE87" s="99"/>
      <c r="AF87" s="111"/>
      <c r="AG87" s="111"/>
      <c r="AH87" s="112">
        <f t="shared" si="5"/>
        <v>0</v>
      </c>
      <c r="AI87" s="113">
        <f t="shared" si="6"/>
        <v>0</v>
      </c>
      <c r="AJ87" s="114"/>
      <c r="AK87" s="100"/>
      <c r="AL87" s="100"/>
      <c r="AM87" s="115"/>
      <c r="AN87" s="116"/>
      <c r="AO87" s="99"/>
      <c r="AP87" s="117"/>
      <c r="AQ87" s="199"/>
      <c r="AR87" s="117"/>
      <c r="AS87" s="119"/>
      <c r="AT87" s="119"/>
      <c r="AU87" s="120" t="str">
        <f>VLOOKUP(I87,DADOS!B:C,2,0)</f>
        <v>#N/A</v>
      </c>
      <c r="AV87" s="121">
        <f t="shared" si="7"/>
        <v>0</v>
      </c>
      <c r="AW87" s="122"/>
      <c r="AX87" s="122"/>
      <c r="AY87" s="92"/>
      <c r="AZ87" s="123"/>
      <c r="BA87" s="124"/>
      <c r="BB87" s="125"/>
      <c r="BC87" s="126"/>
      <c r="BD87" s="126"/>
      <c r="BE87" s="126"/>
      <c r="BF87" s="126"/>
      <c r="BG87" s="127">
        <f t="shared" si="9"/>
        <v>0</v>
      </c>
      <c r="BH87" s="126"/>
      <c r="BI87" s="126"/>
      <c r="BJ87" s="128"/>
      <c r="BK87" s="193" t="s">
        <v>102</v>
      </c>
      <c r="BL87" s="129"/>
      <c r="BM87" s="129"/>
      <c r="BN87" s="36"/>
      <c r="BO87" s="130"/>
      <c r="BP87" s="32"/>
      <c r="BQ87" s="32"/>
      <c r="BR87" s="131"/>
      <c r="BS87" s="32"/>
      <c r="BT87" s="32"/>
    </row>
    <row r="88">
      <c r="A88" s="89"/>
      <c r="B88" s="99"/>
      <c r="C88" s="91"/>
      <c r="D88" s="91"/>
      <c r="E88" s="92"/>
      <c r="F88" s="93"/>
      <c r="G88" s="94"/>
      <c r="H88" s="95"/>
      <c r="I88" s="96"/>
      <c r="J88" s="97" t="str">
        <f>VLOOKUP(I88,DADOS!B:F,5,0)</f>
        <v>#N/A</v>
      </c>
      <c r="K88" s="98"/>
      <c r="L88" s="99"/>
      <c r="M88" s="99"/>
      <c r="N88" s="100"/>
      <c r="O88" s="101"/>
      <c r="P88" s="185"/>
      <c r="Q88" s="100"/>
      <c r="R88" s="100"/>
      <c r="S88" s="104"/>
      <c r="T88" s="134"/>
      <c r="U88" s="104"/>
      <c r="V88" s="105"/>
      <c r="W88" s="106"/>
      <c r="X88" s="104"/>
      <c r="Y88" s="107"/>
      <c r="Z88" s="108"/>
      <c r="AA88" s="109"/>
      <c r="AB88" s="110"/>
      <c r="AC88" s="99"/>
      <c r="AD88" s="99"/>
      <c r="AE88" s="99"/>
      <c r="AF88" s="111"/>
      <c r="AG88" s="111"/>
      <c r="AH88" s="112">
        <f t="shared" si="5"/>
        <v>0</v>
      </c>
      <c r="AI88" s="113">
        <f t="shared" si="6"/>
        <v>0</v>
      </c>
      <c r="AJ88" s="114"/>
      <c r="AK88" s="100"/>
      <c r="AL88" s="100"/>
      <c r="AM88" s="115"/>
      <c r="AN88" s="116"/>
      <c r="AO88" s="99"/>
      <c r="AP88" s="117"/>
      <c r="AQ88" s="199"/>
      <c r="AR88" s="117"/>
      <c r="AS88" s="119"/>
      <c r="AT88" s="119"/>
      <c r="AU88" s="120" t="str">
        <f>VLOOKUP(I88,DADOS!B:C,2,0)</f>
        <v>#N/A</v>
      </c>
      <c r="AV88" s="121">
        <f t="shared" si="7"/>
        <v>0</v>
      </c>
      <c r="AW88" s="122"/>
      <c r="AX88" s="122"/>
      <c r="AY88" s="92"/>
      <c r="AZ88" s="123"/>
      <c r="BA88" s="124"/>
      <c r="BB88" s="125"/>
      <c r="BC88" s="126"/>
      <c r="BD88" s="126"/>
      <c r="BE88" s="126"/>
      <c r="BF88" s="126"/>
      <c r="BG88" s="127">
        <f t="shared" si="9"/>
        <v>0</v>
      </c>
      <c r="BH88" s="126"/>
      <c r="BI88" s="126"/>
      <c r="BJ88" s="128"/>
      <c r="BK88" s="193" t="s">
        <v>102</v>
      </c>
      <c r="BL88" s="129"/>
      <c r="BM88" s="129"/>
      <c r="BN88" s="36"/>
      <c r="BO88" s="130"/>
      <c r="BP88" s="32"/>
      <c r="BQ88" s="32"/>
      <c r="BR88" s="131"/>
      <c r="BS88" s="32"/>
      <c r="BT88" s="32"/>
    </row>
    <row r="89">
      <c r="A89" s="89"/>
      <c r="B89" s="99"/>
      <c r="C89" s="91"/>
      <c r="D89" s="91"/>
      <c r="E89" s="92"/>
      <c r="F89" s="93"/>
      <c r="G89" s="94"/>
      <c r="H89" s="95"/>
      <c r="I89" s="96"/>
      <c r="J89" s="97" t="str">
        <f>VLOOKUP(I89,DADOS!B:F,5,0)</f>
        <v>#N/A</v>
      </c>
      <c r="K89" s="98"/>
      <c r="L89" s="99"/>
      <c r="M89" s="99"/>
      <c r="N89" s="100"/>
      <c r="O89" s="101"/>
      <c r="P89" s="185"/>
      <c r="Q89" s="100"/>
      <c r="R89" s="100"/>
      <c r="S89" s="104"/>
      <c r="T89" s="134"/>
      <c r="U89" s="104"/>
      <c r="V89" s="105"/>
      <c r="W89" s="106"/>
      <c r="X89" s="104"/>
      <c r="Y89" s="107"/>
      <c r="Z89" s="108"/>
      <c r="AA89" s="109"/>
      <c r="AB89" s="110"/>
      <c r="AC89" s="99"/>
      <c r="AD89" s="99"/>
      <c r="AE89" s="99"/>
      <c r="AF89" s="111"/>
      <c r="AG89" s="111"/>
      <c r="AH89" s="112">
        <f t="shared" si="5"/>
        <v>0</v>
      </c>
      <c r="AI89" s="113">
        <f t="shared" si="6"/>
        <v>0</v>
      </c>
      <c r="AJ89" s="114"/>
      <c r="AK89" s="100"/>
      <c r="AL89" s="100"/>
      <c r="AM89" s="115"/>
      <c r="AN89" s="116"/>
      <c r="AO89" s="99"/>
      <c r="AP89" s="117"/>
      <c r="AQ89" s="199"/>
      <c r="AR89" s="117"/>
      <c r="AS89" s="119"/>
      <c r="AT89" s="119"/>
      <c r="AU89" s="120" t="str">
        <f>VLOOKUP(I89,DADOS!B:C,2,0)</f>
        <v>#N/A</v>
      </c>
      <c r="AV89" s="121">
        <f t="shared" si="7"/>
        <v>0</v>
      </c>
      <c r="AW89" s="122"/>
      <c r="AX89" s="122"/>
      <c r="AY89" s="92"/>
      <c r="AZ89" s="123"/>
      <c r="BA89" s="124"/>
      <c r="BB89" s="125"/>
      <c r="BC89" s="126"/>
      <c r="BD89" s="126"/>
      <c r="BE89" s="126"/>
      <c r="BF89" s="126"/>
      <c r="BG89" s="127">
        <f t="shared" si="9"/>
        <v>0</v>
      </c>
      <c r="BH89" s="126"/>
      <c r="BI89" s="126"/>
      <c r="BJ89" s="128"/>
      <c r="BK89" s="193" t="s">
        <v>102</v>
      </c>
      <c r="BL89" s="129"/>
      <c r="BM89" s="129"/>
      <c r="BN89" s="36"/>
      <c r="BO89" s="130"/>
      <c r="BP89" s="32"/>
      <c r="BQ89" s="32"/>
      <c r="BR89" s="131"/>
      <c r="BS89" s="32"/>
      <c r="BT89" s="32"/>
    </row>
    <row r="90">
      <c r="A90" s="89"/>
      <c r="B90" s="99"/>
      <c r="C90" s="91"/>
      <c r="D90" s="91"/>
      <c r="E90" s="92"/>
      <c r="F90" s="93"/>
      <c r="G90" s="94"/>
      <c r="H90" s="95"/>
      <c r="I90" s="96"/>
      <c r="J90" s="97" t="str">
        <f>VLOOKUP(I90,DADOS!B:F,5,0)</f>
        <v>#N/A</v>
      </c>
      <c r="K90" s="98"/>
      <c r="L90" s="99"/>
      <c r="M90" s="99"/>
      <c r="N90" s="100"/>
      <c r="O90" s="101"/>
      <c r="P90" s="185"/>
      <c r="Q90" s="100"/>
      <c r="R90" s="100"/>
      <c r="S90" s="104"/>
      <c r="T90" s="134"/>
      <c r="U90" s="104"/>
      <c r="V90" s="105"/>
      <c r="W90" s="106"/>
      <c r="X90" s="104"/>
      <c r="Y90" s="107"/>
      <c r="Z90" s="108"/>
      <c r="AA90" s="109"/>
      <c r="AB90" s="110"/>
      <c r="AC90" s="99"/>
      <c r="AD90" s="99"/>
      <c r="AE90" s="99"/>
      <c r="AF90" s="111"/>
      <c r="AG90" s="111"/>
      <c r="AH90" s="112">
        <f t="shared" si="5"/>
        <v>0</v>
      </c>
      <c r="AI90" s="113">
        <f t="shared" si="6"/>
        <v>0</v>
      </c>
      <c r="AJ90" s="114"/>
      <c r="AK90" s="100"/>
      <c r="AL90" s="100"/>
      <c r="AM90" s="115"/>
      <c r="AN90" s="116"/>
      <c r="AO90" s="99"/>
      <c r="AP90" s="117"/>
      <c r="AQ90" s="199"/>
      <c r="AR90" s="117"/>
      <c r="AS90" s="119"/>
      <c r="AT90" s="119"/>
      <c r="AU90" s="120" t="str">
        <f>VLOOKUP(I90,DADOS!B:C,2,0)</f>
        <v>#N/A</v>
      </c>
      <c r="AV90" s="121">
        <f t="shared" si="7"/>
        <v>0</v>
      </c>
      <c r="AW90" s="122"/>
      <c r="AX90" s="122"/>
      <c r="AY90" s="92"/>
      <c r="AZ90" s="123"/>
      <c r="BA90" s="124"/>
      <c r="BB90" s="125"/>
      <c r="BC90" s="126"/>
      <c r="BD90" s="126"/>
      <c r="BE90" s="126"/>
      <c r="BF90" s="126"/>
      <c r="BG90" s="127">
        <f t="shared" si="9"/>
        <v>0</v>
      </c>
      <c r="BH90" s="126"/>
      <c r="BI90" s="126"/>
      <c r="BJ90" s="128"/>
      <c r="BK90" s="193" t="s">
        <v>102</v>
      </c>
      <c r="BL90" s="129"/>
      <c r="BM90" s="129"/>
      <c r="BN90" s="36"/>
      <c r="BO90" s="130"/>
      <c r="BP90" s="32"/>
      <c r="BQ90" s="32"/>
      <c r="BR90" s="131"/>
      <c r="BS90" s="32"/>
      <c r="BT90" s="32"/>
    </row>
    <row r="91">
      <c r="A91" s="89"/>
      <c r="B91" s="99"/>
      <c r="C91" s="91"/>
      <c r="D91" s="91"/>
      <c r="E91" s="92"/>
      <c r="F91" s="93"/>
      <c r="G91" s="94"/>
      <c r="H91" s="95"/>
      <c r="I91" s="96"/>
      <c r="J91" s="97" t="str">
        <f>VLOOKUP(I91,DADOS!B:F,5,0)</f>
        <v>#N/A</v>
      </c>
      <c r="K91" s="98"/>
      <c r="L91" s="99"/>
      <c r="M91" s="99"/>
      <c r="N91" s="100"/>
      <c r="O91" s="101"/>
      <c r="P91" s="185"/>
      <c r="Q91" s="100"/>
      <c r="R91" s="100"/>
      <c r="S91" s="104"/>
      <c r="T91" s="134"/>
      <c r="U91" s="104"/>
      <c r="V91" s="105"/>
      <c r="W91" s="106"/>
      <c r="X91" s="104"/>
      <c r="Y91" s="107"/>
      <c r="Z91" s="108"/>
      <c r="AA91" s="109"/>
      <c r="AB91" s="110"/>
      <c r="AC91" s="99"/>
      <c r="AD91" s="99"/>
      <c r="AE91" s="99"/>
      <c r="AF91" s="111"/>
      <c r="AG91" s="111"/>
      <c r="AH91" s="112">
        <f t="shared" si="5"/>
        <v>0</v>
      </c>
      <c r="AI91" s="113">
        <f t="shared" si="6"/>
        <v>0</v>
      </c>
      <c r="AJ91" s="114"/>
      <c r="AK91" s="100"/>
      <c r="AL91" s="100"/>
      <c r="AM91" s="115"/>
      <c r="AN91" s="116"/>
      <c r="AO91" s="99"/>
      <c r="AP91" s="117"/>
      <c r="AQ91" s="199"/>
      <c r="AR91" s="117"/>
      <c r="AS91" s="119"/>
      <c r="AT91" s="119"/>
      <c r="AU91" s="120" t="str">
        <f>VLOOKUP(I91,DADOS!B:C,2,0)</f>
        <v>#N/A</v>
      </c>
      <c r="AV91" s="121">
        <f t="shared" si="7"/>
        <v>0</v>
      </c>
      <c r="AW91" s="122"/>
      <c r="AX91" s="122"/>
      <c r="AY91" s="92"/>
      <c r="AZ91" s="123"/>
      <c r="BA91" s="124"/>
      <c r="BB91" s="125"/>
      <c r="BC91" s="126"/>
      <c r="BD91" s="126"/>
      <c r="BE91" s="126"/>
      <c r="BF91" s="126"/>
      <c r="BG91" s="127">
        <f t="shared" si="9"/>
        <v>0</v>
      </c>
      <c r="BH91" s="126"/>
      <c r="BI91" s="126"/>
      <c r="BJ91" s="128"/>
      <c r="BK91" s="193" t="s">
        <v>102</v>
      </c>
      <c r="BL91" s="129"/>
      <c r="BM91" s="129"/>
      <c r="BN91" s="36"/>
      <c r="BO91" s="130"/>
      <c r="BP91" s="32"/>
      <c r="BQ91" s="32"/>
      <c r="BR91" s="131"/>
      <c r="BS91" s="32"/>
      <c r="BT91" s="32"/>
    </row>
    <row r="92">
      <c r="A92" s="89"/>
      <c r="B92" s="99"/>
      <c r="C92" s="91"/>
      <c r="D92" s="91"/>
      <c r="E92" s="92"/>
      <c r="F92" s="93"/>
      <c r="G92" s="94"/>
      <c r="H92" s="95"/>
      <c r="I92" s="96"/>
      <c r="J92" s="97" t="str">
        <f>VLOOKUP(I92,DADOS!B:F,5,0)</f>
        <v>#N/A</v>
      </c>
      <c r="K92" s="98"/>
      <c r="L92" s="99"/>
      <c r="M92" s="99"/>
      <c r="N92" s="100"/>
      <c r="O92" s="101"/>
      <c r="P92" s="185"/>
      <c r="Q92" s="100"/>
      <c r="R92" s="100"/>
      <c r="S92" s="104"/>
      <c r="T92" s="134"/>
      <c r="U92" s="104"/>
      <c r="V92" s="105"/>
      <c r="W92" s="106"/>
      <c r="X92" s="104"/>
      <c r="Y92" s="107"/>
      <c r="Z92" s="108"/>
      <c r="AA92" s="109"/>
      <c r="AB92" s="110"/>
      <c r="AC92" s="99"/>
      <c r="AD92" s="99"/>
      <c r="AE92" s="99"/>
      <c r="AF92" s="111"/>
      <c r="AG92" s="111"/>
      <c r="AH92" s="112">
        <f t="shared" si="5"/>
        <v>0</v>
      </c>
      <c r="AI92" s="113">
        <f t="shared" si="6"/>
        <v>0</v>
      </c>
      <c r="AJ92" s="114"/>
      <c r="AK92" s="100"/>
      <c r="AL92" s="100"/>
      <c r="AM92" s="115"/>
      <c r="AN92" s="116"/>
      <c r="AO92" s="99"/>
      <c r="AP92" s="117"/>
      <c r="AQ92" s="199"/>
      <c r="AR92" s="117"/>
      <c r="AS92" s="119"/>
      <c r="AT92" s="119"/>
      <c r="AU92" s="120" t="str">
        <f>VLOOKUP(I92,DADOS!B:C,2,0)</f>
        <v>#N/A</v>
      </c>
      <c r="AV92" s="121">
        <f t="shared" si="7"/>
        <v>0</v>
      </c>
      <c r="AW92" s="122"/>
      <c r="AX92" s="122"/>
      <c r="AY92" s="92"/>
      <c r="AZ92" s="123"/>
      <c r="BA92" s="124"/>
      <c r="BB92" s="125"/>
      <c r="BC92" s="126"/>
      <c r="BD92" s="126"/>
      <c r="BE92" s="126"/>
      <c r="BF92" s="126"/>
      <c r="BG92" s="127">
        <f t="shared" si="9"/>
        <v>0</v>
      </c>
      <c r="BH92" s="126"/>
      <c r="BI92" s="126"/>
      <c r="BJ92" s="128"/>
      <c r="BK92" s="193" t="s">
        <v>102</v>
      </c>
      <c r="BL92" s="129"/>
      <c r="BM92" s="129"/>
      <c r="BN92" s="36"/>
      <c r="BO92" s="130"/>
      <c r="BP92" s="32"/>
      <c r="BQ92" s="32"/>
      <c r="BR92" s="131"/>
      <c r="BS92" s="32"/>
      <c r="BT92" s="32"/>
    </row>
    <row r="93">
      <c r="A93" s="89"/>
      <c r="B93" s="99"/>
      <c r="C93" s="91"/>
      <c r="D93" s="91"/>
      <c r="E93" s="92"/>
      <c r="F93" s="93"/>
      <c r="G93" s="94"/>
      <c r="H93" s="95"/>
      <c r="I93" s="96"/>
      <c r="J93" s="97" t="str">
        <f>VLOOKUP(I93,DADOS!B:F,5,0)</f>
        <v>#N/A</v>
      </c>
      <c r="K93" s="98"/>
      <c r="L93" s="99"/>
      <c r="M93" s="99"/>
      <c r="N93" s="100"/>
      <c r="O93" s="101"/>
      <c r="P93" s="185"/>
      <c r="Q93" s="100"/>
      <c r="R93" s="100"/>
      <c r="S93" s="104"/>
      <c r="T93" s="134"/>
      <c r="U93" s="104"/>
      <c r="V93" s="105"/>
      <c r="W93" s="106"/>
      <c r="X93" s="104"/>
      <c r="Y93" s="107"/>
      <c r="Z93" s="108"/>
      <c r="AA93" s="109"/>
      <c r="AB93" s="110"/>
      <c r="AC93" s="99"/>
      <c r="AD93" s="99"/>
      <c r="AE93" s="99"/>
      <c r="AF93" s="111"/>
      <c r="AG93" s="111"/>
      <c r="AH93" s="112">
        <f t="shared" si="5"/>
        <v>0</v>
      </c>
      <c r="AI93" s="113">
        <f t="shared" si="6"/>
        <v>0</v>
      </c>
      <c r="AJ93" s="114"/>
      <c r="AK93" s="100"/>
      <c r="AL93" s="100"/>
      <c r="AM93" s="115"/>
      <c r="AN93" s="116"/>
      <c r="AO93" s="99"/>
      <c r="AP93" s="117"/>
      <c r="AQ93" s="199"/>
      <c r="AR93" s="117"/>
      <c r="AS93" s="119"/>
      <c r="AT93" s="119"/>
      <c r="AU93" s="120" t="str">
        <f>VLOOKUP(I93,DADOS!B:C,2,0)</f>
        <v>#N/A</v>
      </c>
      <c r="AV93" s="121">
        <f t="shared" si="7"/>
        <v>0</v>
      </c>
      <c r="AW93" s="122"/>
      <c r="AX93" s="122"/>
      <c r="AY93" s="92"/>
      <c r="AZ93" s="123"/>
      <c r="BA93" s="124"/>
      <c r="BB93" s="125"/>
      <c r="BC93" s="126"/>
      <c r="BD93" s="126"/>
      <c r="BE93" s="126"/>
      <c r="BF93" s="126"/>
      <c r="BG93" s="127">
        <f t="shared" si="9"/>
        <v>0</v>
      </c>
      <c r="BH93" s="126"/>
      <c r="BI93" s="126"/>
      <c r="BJ93" s="128"/>
      <c r="BK93" s="193" t="s">
        <v>102</v>
      </c>
      <c r="BL93" s="129"/>
      <c r="BM93" s="129"/>
      <c r="BN93" s="36"/>
      <c r="BO93" s="130"/>
      <c r="BP93" s="32"/>
      <c r="BQ93" s="32"/>
      <c r="BR93" s="131"/>
      <c r="BS93" s="32"/>
      <c r="BT93" s="32"/>
    </row>
    <row r="94">
      <c r="A94" s="89"/>
      <c r="B94" s="99"/>
      <c r="C94" s="91"/>
      <c r="D94" s="91"/>
      <c r="E94" s="92"/>
      <c r="F94" s="93"/>
      <c r="G94" s="94"/>
      <c r="H94" s="95"/>
      <c r="I94" s="96"/>
      <c r="J94" s="97" t="str">
        <f>VLOOKUP(I94,DADOS!B:F,5,0)</f>
        <v>#N/A</v>
      </c>
      <c r="K94" s="98"/>
      <c r="L94" s="99"/>
      <c r="M94" s="99"/>
      <c r="N94" s="100"/>
      <c r="O94" s="101"/>
      <c r="P94" s="185"/>
      <c r="Q94" s="100"/>
      <c r="R94" s="100"/>
      <c r="S94" s="104"/>
      <c r="T94" s="134"/>
      <c r="U94" s="104"/>
      <c r="V94" s="105"/>
      <c r="W94" s="106"/>
      <c r="X94" s="104"/>
      <c r="Y94" s="107"/>
      <c r="Z94" s="108"/>
      <c r="AA94" s="109"/>
      <c r="AB94" s="110"/>
      <c r="AC94" s="99"/>
      <c r="AD94" s="99"/>
      <c r="AE94" s="99"/>
      <c r="AF94" s="111"/>
      <c r="AG94" s="111"/>
      <c r="AH94" s="112">
        <f t="shared" si="5"/>
        <v>0</v>
      </c>
      <c r="AI94" s="113">
        <f t="shared" si="6"/>
        <v>0</v>
      </c>
      <c r="AJ94" s="114"/>
      <c r="AK94" s="100"/>
      <c r="AL94" s="100"/>
      <c r="AM94" s="115"/>
      <c r="AN94" s="116"/>
      <c r="AO94" s="99"/>
      <c r="AP94" s="117"/>
      <c r="AQ94" s="199"/>
      <c r="AR94" s="117"/>
      <c r="AS94" s="119"/>
      <c r="AT94" s="119"/>
      <c r="AU94" s="120" t="str">
        <f>VLOOKUP(I94,DADOS!B:C,2,0)</f>
        <v>#N/A</v>
      </c>
      <c r="AV94" s="121">
        <f t="shared" si="7"/>
        <v>0</v>
      </c>
      <c r="AW94" s="122"/>
      <c r="AX94" s="122"/>
      <c r="AY94" s="92"/>
      <c r="AZ94" s="123"/>
      <c r="BA94" s="124"/>
      <c r="BB94" s="125"/>
      <c r="BC94" s="126"/>
      <c r="BD94" s="126"/>
      <c r="BE94" s="126"/>
      <c r="BF94" s="126"/>
      <c r="BG94" s="127">
        <f t="shared" si="9"/>
        <v>0</v>
      </c>
      <c r="BH94" s="126"/>
      <c r="BI94" s="126"/>
      <c r="BJ94" s="128"/>
      <c r="BK94" s="193" t="s">
        <v>102</v>
      </c>
      <c r="BL94" s="129"/>
      <c r="BM94" s="129"/>
      <c r="BN94" s="36"/>
      <c r="BO94" s="130"/>
      <c r="BP94" s="32"/>
      <c r="BQ94" s="32"/>
      <c r="BR94" s="131"/>
      <c r="BS94" s="32"/>
      <c r="BT94" s="32"/>
    </row>
    <row r="95">
      <c r="A95" s="89"/>
      <c r="B95" s="99"/>
      <c r="C95" s="91"/>
      <c r="D95" s="91"/>
      <c r="E95" s="92"/>
      <c r="F95" s="93"/>
      <c r="G95" s="94"/>
      <c r="H95" s="95"/>
      <c r="I95" s="96"/>
      <c r="J95" s="97" t="str">
        <f>VLOOKUP(I95,DADOS!B:F,5,0)</f>
        <v>#N/A</v>
      </c>
      <c r="K95" s="98"/>
      <c r="L95" s="99"/>
      <c r="M95" s="99"/>
      <c r="N95" s="100"/>
      <c r="O95" s="101"/>
      <c r="P95" s="185"/>
      <c r="Q95" s="100"/>
      <c r="R95" s="100"/>
      <c r="S95" s="104"/>
      <c r="T95" s="134"/>
      <c r="U95" s="104"/>
      <c r="V95" s="105"/>
      <c r="W95" s="106"/>
      <c r="X95" s="104"/>
      <c r="Y95" s="107"/>
      <c r="Z95" s="108"/>
      <c r="AA95" s="109"/>
      <c r="AB95" s="110"/>
      <c r="AC95" s="99"/>
      <c r="AD95" s="99"/>
      <c r="AE95" s="99"/>
      <c r="AF95" s="111"/>
      <c r="AG95" s="111"/>
      <c r="AH95" s="112">
        <f t="shared" si="5"/>
        <v>0</v>
      </c>
      <c r="AI95" s="113">
        <f t="shared" si="6"/>
        <v>0</v>
      </c>
      <c r="AJ95" s="114"/>
      <c r="AK95" s="100"/>
      <c r="AL95" s="100"/>
      <c r="AM95" s="115"/>
      <c r="AN95" s="116"/>
      <c r="AO95" s="99"/>
      <c r="AP95" s="117"/>
      <c r="AQ95" s="199"/>
      <c r="AR95" s="117"/>
      <c r="AS95" s="119"/>
      <c r="AT95" s="119"/>
      <c r="AU95" s="120" t="str">
        <f>VLOOKUP(I95,DADOS!B:C,2,0)</f>
        <v>#N/A</v>
      </c>
      <c r="AV95" s="121">
        <f t="shared" si="7"/>
        <v>0</v>
      </c>
      <c r="AW95" s="122"/>
      <c r="AX95" s="122"/>
      <c r="AY95" s="92"/>
      <c r="AZ95" s="123"/>
      <c r="BA95" s="124"/>
      <c r="BB95" s="125"/>
      <c r="BC95" s="126"/>
      <c r="BD95" s="126"/>
      <c r="BE95" s="126"/>
      <c r="BF95" s="126"/>
      <c r="BG95" s="127">
        <f t="shared" si="9"/>
        <v>0</v>
      </c>
      <c r="BH95" s="126"/>
      <c r="BI95" s="126"/>
      <c r="BJ95" s="128"/>
      <c r="BK95" s="193" t="s">
        <v>102</v>
      </c>
      <c r="BL95" s="129"/>
      <c r="BM95" s="129"/>
      <c r="BN95" s="36"/>
      <c r="BO95" s="130"/>
      <c r="BP95" s="32"/>
      <c r="BQ95" s="32"/>
      <c r="BR95" s="131"/>
      <c r="BS95" s="32"/>
      <c r="BT95" s="32"/>
    </row>
    <row r="96">
      <c r="A96" s="89"/>
      <c r="B96" s="99"/>
      <c r="C96" s="91"/>
      <c r="D96" s="91"/>
      <c r="E96" s="92"/>
      <c r="F96" s="93"/>
      <c r="G96" s="94"/>
      <c r="H96" s="95"/>
      <c r="I96" s="96"/>
      <c r="J96" s="97" t="str">
        <f>VLOOKUP(I96,DADOS!B:F,5,0)</f>
        <v>#N/A</v>
      </c>
      <c r="K96" s="98"/>
      <c r="L96" s="99"/>
      <c r="M96" s="99"/>
      <c r="N96" s="100"/>
      <c r="O96" s="101"/>
      <c r="P96" s="185"/>
      <c r="Q96" s="100"/>
      <c r="R96" s="100"/>
      <c r="S96" s="104"/>
      <c r="T96" s="134"/>
      <c r="U96" s="104"/>
      <c r="V96" s="105"/>
      <c r="W96" s="106"/>
      <c r="X96" s="104"/>
      <c r="Y96" s="107"/>
      <c r="Z96" s="108"/>
      <c r="AA96" s="109"/>
      <c r="AB96" s="110"/>
      <c r="AC96" s="99"/>
      <c r="AD96" s="99"/>
      <c r="AE96" s="99"/>
      <c r="AF96" s="111"/>
      <c r="AG96" s="111"/>
      <c r="AH96" s="112">
        <f t="shared" si="5"/>
        <v>0</v>
      </c>
      <c r="AI96" s="113">
        <f t="shared" si="6"/>
        <v>0</v>
      </c>
      <c r="AJ96" s="114"/>
      <c r="AK96" s="100"/>
      <c r="AL96" s="100"/>
      <c r="AM96" s="115"/>
      <c r="AN96" s="116"/>
      <c r="AO96" s="99"/>
      <c r="AP96" s="117"/>
      <c r="AQ96" s="199"/>
      <c r="AR96" s="117"/>
      <c r="AS96" s="119"/>
      <c r="AT96" s="119"/>
      <c r="AU96" s="120" t="str">
        <f>VLOOKUP(I96,DADOS!B:C,2,0)</f>
        <v>#N/A</v>
      </c>
      <c r="AV96" s="121">
        <f t="shared" si="7"/>
        <v>0</v>
      </c>
      <c r="AW96" s="122"/>
      <c r="AX96" s="122"/>
      <c r="AY96" s="92"/>
      <c r="AZ96" s="123"/>
      <c r="BA96" s="124"/>
      <c r="BB96" s="125"/>
      <c r="BC96" s="126"/>
      <c r="BD96" s="126"/>
      <c r="BE96" s="126"/>
      <c r="BF96" s="126"/>
      <c r="BG96" s="127">
        <f t="shared" si="9"/>
        <v>0</v>
      </c>
      <c r="BH96" s="126"/>
      <c r="BI96" s="126"/>
      <c r="BJ96" s="128"/>
      <c r="BK96" s="193" t="s">
        <v>102</v>
      </c>
      <c r="BL96" s="129"/>
      <c r="BM96" s="129"/>
      <c r="BN96" s="36"/>
      <c r="BO96" s="130"/>
      <c r="BP96" s="32"/>
      <c r="BQ96" s="32"/>
      <c r="BR96" s="131"/>
      <c r="BS96" s="32"/>
      <c r="BT96" s="32"/>
    </row>
    <row r="97">
      <c r="A97" s="89"/>
      <c r="B97" s="99"/>
      <c r="C97" s="91"/>
      <c r="D97" s="91"/>
      <c r="E97" s="92"/>
      <c r="F97" s="93"/>
      <c r="G97" s="94"/>
      <c r="H97" s="95"/>
      <c r="I97" s="96"/>
      <c r="J97" s="97" t="str">
        <f>VLOOKUP(I97,DADOS!B:F,5,0)</f>
        <v>#N/A</v>
      </c>
      <c r="K97" s="98"/>
      <c r="L97" s="99"/>
      <c r="M97" s="99"/>
      <c r="N97" s="100"/>
      <c r="O97" s="101"/>
      <c r="P97" s="185"/>
      <c r="Q97" s="100"/>
      <c r="R97" s="100"/>
      <c r="S97" s="104"/>
      <c r="T97" s="134"/>
      <c r="U97" s="104"/>
      <c r="V97" s="105"/>
      <c r="W97" s="106"/>
      <c r="X97" s="104"/>
      <c r="Y97" s="107"/>
      <c r="Z97" s="108"/>
      <c r="AA97" s="109"/>
      <c r="AB97" s="110"/>
      <c r="AC97" s="99"/>
      <c r="AD97" s="99"/>
      <c r="AE97" s="99"/>
      <c r="AF97" s="111"/>
      <c r="AG97" s="111"/>
      <c r="AH97" s="112">
        <f t="shared" si="5"/>
        <v>0</v>
      </c>
      <c r="AI97" s="113">
        <f t="shared" si="6"/>
        <v>0</v>
      </c>
      <c r="AJ97" s="114"/>
      <c r="AK97" s="100"/>
      <c r="AL97" s="100"/>
      <c r="AM97" s="115"/>
      <c r="AN97" s="116"/>
      <c r="AO97" s="99"/>
      <c r="AP97" s="117"/>
      <c r="AQ97" s="199"/>
      <c r="AR97" s="117"/>
      <c r="AS97" s="119"/>
      <c r="AT97" s="119"/>
      <c r="AU97" s="120" t="str">
        <f>VLOOKUP(I97,DADOS!B:C,2,0)</f>
        <v>#N/A</v>
      </c>
      <c r="AV97" s="121">
        <f t="shared" si="7"/>
        <v>0</v>
      </c>
      <c r="AW97" s="122"/>
      <c r="AX97" s="122"/>
      <c r="AY97" s="92"/>
      <c r="AZ97" s="123"/>
      <c r="BA97" s="124"/>
      <c r="BB97" s="125"/>
      <c r="BC97" s="126"/>
      <c r="BD97" s="126"/>
      <c r="BE97" s="126"/>
      <c r="BF97" s="126"/>
      <c r="BG97" s="127">
        <f t="shared" si="9"/>
        <v>0</v>
      </c>
      <c r="BH97" s="126"/>
      <c r="BI97" s="126"/>
      <c r="BJ97" s="128"/>
      <c r="BK97" s="193" t="s">
        <v>102</v>
      </c>
      <c r="BL97" s="129"/>
      <c r="BM97" s="129"/>
      <c r="BN97" s="36"/>
      <c r="BO97" s="130"/>
      <c r="BP97" s="32"/>
      <c r="BQ97" s="32"/>
      <c r="BR97" s="131"/>
      <c r="BS97" s="32"/>
      <c r="BT97" s="32"/>
    </row>
    <row r="98">
      <c r="A98" s="89"/>
      <c r="B98" s="99"/>
      <c r="C98" s="91"/>
      <c r="D98" s="91"/>
      <c r="E98" s="92"/>
      <c r="F98" s="93"/>
      <c r="G98" s="94"/>
      <c r="H98" s="95"/>
      <c r="I98" s="96"/>
      <c r="J98" s="97" t="str">
        <f>VLOOKUP(I98,DADOS!B:F,5,0)</f>
        <v>#N/A</v>
      </c>
      <c r="K98" s="98"/>
      <c r="L98" s="99"/>
      <c r="M98" s="99"/>
      <c r="N98" s="100"/>
      <c r="O98" s="101"/>
      <c r="P98" s="185"/>
      <c r="Q98" s="100"/>
      <c r="R98" s="100"/>
      <c r="S98" s="104"/>
      <c r="T98" s="134"/>
      <c r="U98" s="104"/>
      <c r="V98" s="105"/>
      <c r="W98" s="106"/>
      <c r="X98" s="104"/>
      <c r="Y98" s="107"/>
      <c r="Z98" s="108"/>
      <c r="AA98" s="109"/>
      <c r="AB98" s="110"/>
      <c r="AC98" s="99"/>
      <c r="AD98" s="99"/>
      <c r="AE98" s="99"/>
      <c r="AF98" s="111"/>
      <c r="AG98" s="111"/>
      <c r="AH98" s="112">
        <f t="shared" si="5"/>
        <v>0</v>
      </c>
      <c r="AI98" s="113">
        <f t="shared" si="6"/>
        <v>0</v>
      </c>
      <c r="AJ98" s="114"/>
      <c r="AK98" s="100"/>
      <c r="AL98" s="100"/>
      <c r="AM98" s="115"/>
      <c r="AN98" s="116"/>
      <c r="AO98" s="99"/>
      <c r="AP98" s="117"/>
      <c r="AQ98" s="199"/>
      <c r="AR98" s="117"/>
      <c r="AS98" s="119"/>
      <c r="AT98" s="119"/>
      <c r="AU98" s="120" t="str">
        <f>VLOOKUP(I98,DADOS!B:C,2,0)</f>
        <v>#N/A</v>
      </c>
      <c r="AV98" s="121">
        <f t="shared" si="7"/>
        <v>0</v>
      </c>
      <c r="AW98" s="122"/>
      <c r="AX98" s="122"/>
      <c r="AY98" s="92"/>
      <c r="AZ98" s="123"/>
      <c r="BA98" s="124"/>
      <c r="BB98" s="125"/>
      <c r="BC98" s="126"/>
      <c r="BD98" s="126"/>
      <c r="BE98" s="126"/>
      <c r="BF98" s="126"/>
      <c r="BG98" s="127">
        <f t="shared" si="9"/>
        <v>0</v>
      </c>
      <c r="BH98" s="126"/>
      <c r="BI98" s="126"/>
      <c r="BJ98" s="128"/>
      <c r="BK98" s="193" t="s">
        <v>102</v>
      </c>
      <c r="BL98" s="129"/>
      <c r="BM98" s="129"/>
      <c r="BN98" s="36"/>
      <c r="BO98" s="130"/>
      <c r="BP98" s="32"/>
      <c r="BQ98" s="32"/>
      <c r="BR98" s="131"/>
      <c r="BS98" s="32"/>
      <c r="BT98" s="32"/>
    </row>
    <row r="99" ht="57.75" customHeight="1">
      <c r="A99" s="203"/>
      <c r="B99" s="204"/>
      <c r="C99" s="205" t="s">
        <v>375</v>
      </c>
      <c r="D99" s="205" t="s">
        <v>375</v>
      </c>
      <c r="E99" s="205"/>
      <c r="F99" s="206"/>
      <c r="G99" s="206"/>
      <c r="H99" s="32"/>
      <c r="I99" s="207"/>
      <c r="J99" s="208"/>
      <c r="K99" s="208"/>
      <c r="L99" s="207"/>
      <c r="M99" s="207"/>
      <c r="N99" s="209"/>
      <c r="O99" s="61"/>
      <c r="P99" s="209"/>
      <c r="Q99" s="210"/>
      <c r="R99" s="210"/>
      <c r="S99" s="211"/>
      <c r="T99" s="212"/>
      <c r="U99" s="211"/>
      <c r="V99" s="211"/>
      <c r="W99" s="212"/>
      <c r="X99" s="213"/>
      <c r="Y99" s="214"/>
      <c r="Z99" s="213"/>
      <c r="AA99" s="45"/>
      <c r="AB99" s="45"/>
      <c r="AC99" s="207"/>
      <c r="AD99" s="207"/>
      <c r="AE99" s="207"/>
      <c r="AF99" s="17"/>
      <c r="AG99" s="17"/>
      <c r="AH99" s="215"/>
      <c r="AI99" s="216"/>
      <c r="AJ99" s="217"/>
      <c r="AK99" s="218"/>
      <c r="AL99" s="218"/>
      <c r="AM99" s="218"/>
      <c r="AN99" s="218"/>
      <c r="AO99" s="218"/>
      <c r="AP99" s="219"/>
      <c r="AQ99" s="220"/>
      <c r="AR99" s="219"/>
      <c r="AS99" s="221"/>
      <c r="AT99" s="221"/>
      <c r="AU99" s="222"/>
      <c r="AV99" s="222"/>
      <c r="AW99" s="223"/>
      <c r="AX99" s="223"/>
      <c r="AY99" s="206"/>
      <c r="AZ99" s="224"/>
      <c r="BA99" s="219"/>
      <c r="BB99" s="219"/>
      <c r="BC99" s="219"/>
      <c r="BD99" s="219"/>
      <c r="BE99" s="219"/>
      <c r="BF99" s="219"/>
      <c r="BG99" s="219"/>
      <c r="BH99" s="219"/>
      <c r="BI99" s="219"/>
      <c r="BJ99" s="225"/>
      <c r="BK99" s="226"/>
      <c r="BL99" s="227"/>
      <c r="BM99" s="228"/>
      <c r="BN99" s="229" t="str">
        <f>K99</f>
        <v/>
      </c>
      <c r="BO99" s="230"/>
      <c r="BP99" s="231" t="s">
        <v>376</v>
      </c>
      <c r="BQ99" s="232"/>
      <c r="BR99" s="232"/>
      <c r="BS99" s="232"/>
      <c r="BT99" s="232"/>
    </row>
    <row r="100">
      <c r="A100" s="203"/>
      <c r="B100" s="204"/>
      <c r="C100" s="205"/>
      <c r="D100" s="205"/>
      <c r="E100" s="205"/>
      <c r="F100" s="206"/>
      <c r="G100" s="206"/>
      <c r="H100" s="39"/>
      <c r="I100" s="207"/>
      <c r="J100" s="208"/>
      <c r="K100" s="208"/>
      <c r="L100" s="207"/>
      <c r="M100" s="207"/>
      <c r="N100" s="209"/>
      <c r="O100" s="233"/>
      <c r="P100" s="209"/>
      <c r="Q100" s="210"/>
      <c r="R100" s="210"/>
      <c r="S100" s="211"/>
      <c r="T100" s="212"/>
      <c r="U100" s="211"/>
      <c r="V100" s="211"/>
      <c r="W100" s="212"/>
      <c r="X100" s="213"/>
      <c r="Y100" s="214"/>
      <c r="Z100" s="213"/>
      <c r="AA100" s="45"/>
      <c r="AB100" s="45"/>
      <c r="AC100" s="207"/>
      <c r="AD100" s="207"/>
      <c r="AE100" s="207"/>
      <c r="AF100" s="17"/>
      <c r="AG100" s="17"/>
      <c r="AH100" s="215"/>
      <c r="AI100" s="216"/>
      <c r="AJ100" s="217"/>
      <c r="AK100" s="210"/>
      <c r="AL100" s="210"/>
      <c r="AM100" s="210"/>
      <c r="AN100" s="218"/>
      <c r="AO100" s="210"/>
      <c r="AP100" s="219"/>
      <c r="AQ100" s="220"/>
      <c r="AR100" s="219"/>
      <c r="AS100" s="221"/>
      <c r="AT100" s="221"/>
      <c r="AU100" s="222"/>
      <c r="AV100" s="222"/>
      <c r="AW100" s="223"/>
      <c r="AX100" s="223"/>
      <c r="AY100" s="206"/>
      <c r="AZ100" s="224"/>
      <c r="BA100" s="219"/>
      <c r="BB100" s="219"/>
      <c r="BC100" s="219"/>
      <c r="BD100" s="219"/>
      <c r="BE100" s="219"/>
      <c r="BF100" s="219"/>
      <c r="BG100" s="219"/>
      <c r="BH100" s="219"/>
      <c r="BI100" s="219"/>
      <c r="BJ100" s="225"/>
      <c r="BK100" s="225"/>
      <c r="BL100" s="234"/>
      <c r="BM100" s="234"/>
      <c r="BN100" s="235"/>
      <c r="BO100" s="236" t="s">
        <v>377</v>
      </c>
      <c r="BP100" s="237" t="str">
        <f>VLOOKUP(BP101,B:AO,4,0)</f>
        <v>#N/A</v>
      </c>
      <c r="BQ100" s="238" t="s">
        <v>378</v>
      </c>
      <c r="BR100" s="232"/>
      <c r="BS100" s="232"/>
      <c r="BT100" s="232"/>
    </row>
    <row r="101">
      <c r="A101" s="203"/>
      <c r="B101" s="204"/>
      <c r="C101" s="205"/>
      <c r="D101" s="205"/>
      <c r="E101" s="205"/>
      <c r="F101" s="206"/>
      <c r="G101" s="206"/>
      <c r="H101" s="39"/>
      <c r="I101" s="207"/>
      <c r="J101" s="208"/>
      <c r="K101" s="208"/>
      <c r="L101" s="207"/>
      <c r="M101" s="207"/>
      <c r="N101" s="209"/>
      <c r="O101" s="239"/>
      <c r="P101" s="209"/>
      <c r="Q101" s="210"/>
      <c r="R101" s="210"/>
      <c r="S101" s="211"/>
      <c r="T101" s="212"/>
      <c r="U101" s="211"/>
      <c r="V101" s="211"/>
      <c r="W101" s="212"/>
      <c r="X101" s="213"/>
      <c r="Y101" s="214"/>
      <c r="Z101" s="213"/>
      <c r="AA101" s="45"/>
      <c r="AB101" s="45"/>
      <c r="AC101" s="207"/>
      <c r="AD101" s="207"/>
      <c r="AE101" s="207"/>
      <c r="AF101" s="17"/>
      <c r="AG101" s="17"/>
      <c r="AH101" s="215"/>
      <c r="AI101" s="216"/>
      <c r="AJ101" s="217"/>
      <c r="AK101" s="210"/>
      <c r="AL101" s="210"/>
      <c r="AM101" s="210"/>
      <c r="AN101" s="218"/>
      <c r="AO101" s="210"/>
      <c r="AP101" s="219"/>
      <c r="AQ101" s="220"/>
      <c r="AR101" s="219"/>
      <c r="AS101" s="221"/>
      <c r="AT101" s="221"/>
      <c r="AU101" s="222"/>
      <c r="AV101" s="222"/>
      <c r="AW101" s="223"/>
      <c r="AX101" s="223"/>
      <c r="AY101" s="206"/>
      <c r="AZ101" s="224"/>
      <c r="BA101" s="219"/>
      <c r="BB101" s="219"/>
      <c r="BC101" s="219"/>
      <c r="BD101" s="219"/>
      <c r="BE101" s="219"/>
      <c r="BF101" s="219"/>
      <c r="BG101" s="219"/>
      <c r="BH101" s="219"/>
      <c r="BI101" s="219"/>
      <c r="BJ101" s="225"/>
      <c r="BK101" s="225"/>
      <c r="BL101" s="234"/>
      <c r="BM101" s="234"/>
      <c r="BN101" s="240"/>
      <c r="BO101" s="236" t="s">
        <v>379</v>
      </c>
      <c r="BP101" s="241" t="s">
        <v>380</v>
      </c>
      <c r="BQ101" s="242" t="s">
        <v>381</v>
      </c>
      <c r="BR101" s="232"/>
      <c r="BS101" s="232"/>
      <c r="BT101" s="232"/>
    </row>
    <row r="102">
      <c r="A102" s="203"/>
      <c r="B102" s="204"/>
      <c r="C102" s="205"/>
      <c r="D102" s="205"/>
      <c r="E102" s="205"/>
      <c r="F102" s="206"/>
      <c r="G102" s="206"/>
      <c r="H102" s="39"/>
      <c r="I102" s="207"/>
      <c r="J102" s="208"/>
      <c r="K102" s="208"/>
      <c r="L102" s="207"/>
      <c r="M102" s="207"/>
      <c r="N102" s="209"/>
      <c r="O102" s="239"/>
      <c r="P102" s="209"/>
      <c r="Q102" s="210"/>
      <c r="R102" s="210"/>
      <c r="S102" s="211"/>
      <c r="T102" s="212"/>
      <c r="U102" s="211"/>
      <c r="V102" s="211"/>
      <c r="W102" s="212"/>
      <c r="X102" s="213"/>
      <c r="Y102" s="214"/>
      <c r="Z102" s="213"/>
      <c r="AA102" s="45"/>
      <c r="AB102" s="45"/>
      <c r="AC102" s="207"/>
      <c r="AD102" s="207"/>
      <c r="AE102" s="207"/>
      <c r="AF102" s="17"/>
      <c r="AG102" s="17"/>
      <c r="AH102" s="215"/>
      <c r="AI102" s="216"/>
      <c r="AJ102" s="217"/>
      <c r="AK102" s="210"/>
      <c r="AL102" s="210"/>
      <c r="AM102" s="210"/>
      <c r="AN102" s="218"/>
      <c r="AO102" s="210"/>
      <c r="AP102" s="219"/>
      <c r="AQ102" s="220"/>
      <c r="AR102" s="219"/>
      <c r="AS102" s="221"/>
      <c r="AT102" s="221"/>
      <c r="AU102" s="222"/>
      <c r="AV102" s="222"/>
      <c r="AW102" s="223"/>
      <c r="AX102" s="223"/>
      <c r="AY102" s="206"/>
      <c r="AZ102" s="224"/>
      <c r="BA102" s="219"/>
      <c r="BB102" s="219"/>
      <c r="BC102" s="219"/>
      <c r="BD102" s="219"/>
      <c r="BE102" s="219"/>
      <c r="BF102" s="219"/>
      <c r="BG102" s="219"/>
      <c r="BH102" s="219"/>
      <c r="BI102" s="219"/>
      <c r="BJ102" s="225"/>
      <c r="BK102" s="225"/>
      <c r="BL102" s="234"/>
      <c r="BM102" s="234"/>
      <c r="BN102" s="235"/>
      <c r="BO102" s="236" t="s">
        <v>382</v>
      </c>
      <c r="BP102" s="243" t="str">
        <f>VLOOKUP(BP101,B:AO,2,0)</f>
        <v>#N/A</v>
      </c>
      <c r="BQ102" s="238" t="s">
        <v>378</v>
      </c>
      <c r="BR102" s="232"/>
      <c r="BS102" s="232"/>
      <c r="BT102" s="232"/>
    </row>
    <row r="103">
      <c r="A103" s="203"/>
      <c r="B103" s="204"/>
      <c r="C103" s="205"/>
      <c r="D103" s="205"/>
      <c r="E103" s="205"/>
      <c r="F103" s="206"/>
      <c r="G103" s="206"/>
      <c r="H103" s="39"/>
      <c r="I103" s="207"/>
      <c r="J103" s="208"/>
      <c r="K103" s="208"/>
      <c r="L103" s="207"/>
      <c r="M103" s="207"/>
      <c r="N103" s="209"/>
      <c r="O103" s="239"/>
      <c r="P103" s="209"/>
      <c r="Q103" s="210"/>
      <c r="R103" s="210"/>
      <c r="S103" s="211"/>
      <c r="T103" s="212"/>
      <c r="U103" s="211"/>
      <c r="V103" s="211"/>
      <c r="W103" s="212"/>
      <c r="X103" s="213"/>
      <c r="Y103" s="214"/>
      <c r="Z103" s="213"/>
      <c r="AA103" s="45"/>
      <c r="AB103" s="45"/>
      <c r="AC103" s="207"/>
      <c r="AD103" s="207"/>
      <c r="AE103" s="207"/>
      <c r="AF103" s="17"/>
      <c r="AG103" s="17"/>
      <c r="AH103" s="215"/>
      <c r="AI103" s="216"/>
      <c r="AJ103" s="217"/>
      <c r="AK103" s="210"/>
      <c r="AL103" s="210"/>
      <c r="AM103" s="210"/>
      <c r="AN103" s="218"/>
      <c r="AO103" s="210"/>
      <c r="AP103" s="219"/>
      <c r="AQ103" s="220"/>
      <c r="AR103" s="219"/>
      <c r="AS103" s="221"/>
      <c r="AT103" s="221"/>
      <c r="AU103" s="222"/>
      <c r="AV103" s="222"/>
      <c r="AW103" s="223"/>
      <c r="AX103" s="223"/>
      <c r="AY103" s="206"/>
      <c r="AZ103" s="224"/>
      <c r="BA103" s="219"/>
      <c r="BB103" s="219"/>
      <c r="BC103" s="219"/>
      <c r="BD103" s="219"/>
      <c r="BE103" s="219"/>
      <c r="BF103" s="219"/>
      <c r="BG103" s="219"/>
      <c r="BH103" s="219"/>
      <c r="BI103" s="219"/>
      <c r="BJ103" s="225"/>
      <c r="BK103" s="225"/>
      <c r="BL103" s="234"/>
      <c r="BM103" s="234"/>
      <c r="BN103" s="235"/>
      <c r="BO103" s="236" t="s">
        <v>383</v>
      </c>
      <c r="BP103" s="243" t="str">
        <f>VLOOKUP(BP101,B:AO,3,0)</f>
        <v>#N/A</v>
      </c>
      <c r="BQ103" s="238" t="s">
        <v>378</v>
      </c>
      <c r="BR103" s="232"/>
      <c r="BS103" s="232"/>
      <c r="BT103" s="232"/>
    </row>
    <row r="104">
      <c r="A104" s="203"/>
      <c r="B104" s="204"/>
      <c r="C104" s="205"/>
      <c r="D104" s="205"/>
      <c r="E104" s="205"/>
      <c r="F104" s="206"/>
      <c r="G104" s="206"/>
      <c r="H104" s="39"/>
      <c r="I104" s="207"/>
      <c r="J104" s="208"/>
      <c r="K104" s="208"/>
      <c r="L104" s="207"/>
      <c r="M104" s="207"/>
      <c r="N104" s="209"/>
      <c r="O104" s="239"/>
      <c r="P104" s="209"/>
      <c r="Q104" s="210"/>
      <c r="R104" s="210"/>
      <c r="S104" s="211"/>
      <c r="T104" s="212"/>
      <c r="U104" s="211"/>
      <c r="V104" s="211"/>
      <c r="W104" s="212"/>
      <c r="X104" s="213"/>
      <c r="Y104" s="214"/>
      <c r="Z104" s="213"/>
      <c r="AA104" s="45"/>
      <c r="AB104" s="45"/>
      <c r="AC104" s="207"/>
      <c r="AD104" s="207"/>
      <c r="AE104" s="207"/>
      <c r="AF104" s="17"/>
      <c r="AG104" s="17"/>
      <c r="AH104" s="215"/>
      <c r="AI104" s="216"/>
      <c r="AJ104" s="217"/>
      <c r="AK104" s="210"/>
      <c r="AL104" s="210"/>
      <c r="AM104" s="210"/>
      <c r="AN104" s="218"/>
      <c r="AO104" s="210"/>
      <c r="AP104" s="219"/>
      <c r="AQ104" s="220"/>
      <c r="AR104" s="219"/>
      <c r="AS104" s="221"/>
      <c r="AT104" s="221"/>
      <c r="AU104" s="222"/>
      <c r="AV104" s="222"/>
      <c r="AW104" s="223"/>
      <c r="AX104" s="223"/>
      <c r="AY104" s="206"/>
      <c r="AZ104" s="224"/>
      <c r="BA104" s="219"/>
      <c r="BB104" s="219"/>
      <c r="BC104" s="219"/>
      <c r="BD104" s="219"/>
      <c r="BE104" s="219"/>
      <c r="BF104" s="219"/>
      <c r="BG104" s="219"/>
      <c r="BH104" s="219"/>
      <c r="BI104" s="219"/>
      <c r="BJ104" s="225"/>
      <c r="BK104" s="225"/>
      <c r="BL104" s="234"/>
      <c r="BM104" s="234"/>
      <c r="BN104" s="235"/>
      <c r="BO104" s="236" t="s">
        <v>384</v>
      </c>
      <c r="BP104" s="237" t="str">
        <f>VLOOKUP(BP101,B:AO,5,0)</f>
        <v>#N/A</v>
      </c>
      <c r="BQ104" s="238" t="s">
        <v>378</v>
      </c>
      <c r="BR104" s="232"/>
      <c r="BS104" s="232"/>
      <c r="BT104" s="232"/>
    </row>
    <row r="105">
      <c r="A105" s="203"/>
      <c r="B105" s="204"/>
      <c r="C105" s="205"/>
      <c r="D105" s="205"/>
      <c r="E105" s="205"/>
      <c r="F105" s="206"/>
      <c r="G105" s="206"/>
      <c r="H105" s="39"/>
      <c r="I105" s="207"/>
      <c r="J105" s="208"/>
      <c r="K105" s="208"/>
      <c r="L105" s="207"/>
      <c r="M105" s="207"/>
      <c r="N105" s="209"/>
      <c r="O105" s="239"/>
      <c r="P105" s="209"/>
      <c r="Q105" s="210"/>
      <c r="R105" s="210"/>
      <c r="S105" s="211"/>
      <c r="T105" s="212"/>
      <c r="U105" s="211"/>
      <c r="V105" s="211"/>
      <c r="W105" s="212"/>
      <c r="X105" s="213"/>
      <c r="Y105" s="214"/>
      <c r="Z105" s="213"/>
      <c r="AA105" s="45"/>
      <c r="AB105" s="45"/>
      <c r="AC105" s="207"/>
      <c r="AD105" s="207"/>
      <c r="AE105" s="207"/>
      <c r="AF105" s="17"/>
      <c r="AG105" s="17"/>
      <c r="AH105" s="215"/>
      <c r="AI105" s="216"/>
      <c r="AJ105" s="217"/>
      <c r="AK105" s="210"/>
      <c r="AL105" s="210"/>
      <c r="AM105" s="210"/>
      <c r="AN105" s="218"/>
      <c r="AO105" s="210"/>
      <c r="AP105" s="219"/>
      <c r="AQ105" s="220"/>
      <c r="AR105" s="219"/>
      <c r="AS105" s="221"/>
      <c r="AT105" s="221"/>
      <c r="AU105" s="222"/>
      <c r="AV105" s="222"/>
      <c r="AW105" s="223"/>
      <c r="AX105" s="223"/>
      <c r="AY105" s="206"/>
      <c r="AZ105" s="224"/>
      <c r="BA105" s="219"/>
      <c r="BB105" s="219"/>
      <c r="BC105" s="219"/>
      <c r="BD105" s="219"/>
      <c r="BE105" s="219"/>
      <c r="BF105" s="219"/>
      <c r="BG105" s="219"/>
      <c r="BH105" s="219"/>
      <c r="BI105" s="219"/>
      <c r="BJ105" s="225"/>
      <c r="BK105" s="225"/>
      <c r="BL105" s="234"/>
      <c r="BM105" s="234"/>
      <c r="BN105" s="235"/>
      <c r="BO105" s="236" t="s">
        <v>385</v>
      </c>
      <c r="BP105" s="241" t="s">
        <v>386</v>
      </c>
      <c r="BQ105" s="238" t="s">
        <v>378</v>
      </c>
      <c r="BR105" s="232"/>
      <c r="BS105" s="232"/>
      <c r="BT105" s="232"/>
    </row>
    <row r="106">
      <c r="A106" s="203"/>
      <c r="B106" s="204"/>
      <c r="C106" s="205"/>
      <c r="D106" s="205"/>
      <c r="E106" s="205"/>
      <c r="F106" s="206"/>
      <c r="G106" s="206"/>
      <c r="H106" s="39"/>
      <c r="I106" s="207"/>
      <c r="J106" s="208"/>
      <c r="K106" s="208"/>
      <c r="L106" s="207"/>
      <c r="M106" s="207"/>
      <c r="N106" s="209"/>
      <c r="O106" s="239"/>
      <c r="P106" s="209"/>
      <c r="Q106" s="210"/>
      <c r="R106" s="210"/>
      <c r="S106" s="211"/>
      <c r="T106" s="212"/>
      <c r="U106" s="211"/>
      <c r="V106" s="211"/>
      <c r="W106" s="212"/>
      <c r="X106" s="213"/>
      <c r="Y106" s="214"/>
      <c r="Z106" s="213"/>
      <c r="AA106" s="45"/>
      <c r="AB106" s="45"/>
      <c r="AC106" s="207"/>
      <c r="AD106" s="207"/>
      <c r="AE106" s="207"/>
      <c r="AF106" s="17"/>
      <c r="AG106" s="17"/>
      <c r="AH106" s="215"/>
      <c r="AI106" s="216"/>
      <c r="AJ106" s="217"/>
      <c r="AK106" s="210"/>
      <c r="AL106" s="210"/>
      <c r="AM106" s="210"/>
      <c r="AN106" s="218"/>
      <c r="AO106" s="210"/>
      <c r="AP106" s="219"/>
      <c r="AQ106" s="220"/>
      <c r="AR106" s="219"/>
      <c r="AS106" s="221"/>
      <c r="AT106" s="221"/>
      <c r="AU106" s="222"/>
      <c r="AV106" s="222"/>
      <c r="AW106" s="223"/>
      <c r="AX106" s="223"/>
      <c r="AY106" s="206"/>
      <c r="AZ106" s="224"/>
      <c r="BA106" s="219"/>
      <c r="BB106" s="219"/>
      <c r="BC106" s="219"/>
      <c r="BD106" s="219"/>
      <c r="BE106" s="219"/>
      <c r="BF106" s="219"/>
      <c r="BG106" s="219"/>
      <c r="BH106" s="219"/>
      <c r="BI106" s="219"/>
      <c r="BJ106" s="225"/>
      <c r="BK106" s="225"/>
      <c r="BL106" s="234"/>
      <c r="BM106" s="234"/>
      <c r="BN106" s="235"/>
      <c r="BO106" s="236" t="s">
        <v>387</v>
      </c>
      <c r="BP106" s="237" t="str">
        <f>VLOOKUP(BP101,B:AO,11,0)</f>
        <v>#N/A</v>
      </c>
      <c r="BQ106" s="238" t="s">
        <v>378</v>
      </c>
      <c r="BR106" s="232"/>
      <c r="BS106" s="232"/>
      <c r="BT106" s="232"/>
    </row>
    <row r="107">
      <c r="A107" s="203"/>
      <c r="B107" s="204"/>
      <c r="C107" s="205"/>
      <c r="D107" s="205"/>
      <c r="E107" s="205"/>
      <c r="F107" s="206"/>
      <c r="G107" s="206"/>
      <c r="H107" s="39"/>
      <c r="I107" s="207"/>
      <c r="J107" s="208"/>
      <c r="K107" s="208"/>
      <c r="L107" s="207"/>
      <c r="M107" s="207"/>
      <c r="N107" s="209"/>
      <c r="O107" s="239"/>
      <c r="P107" s="209"/>
      <c r="Q107" s="210"/>
      <c r="R107" s="210"/>
      <c r="S107" s="211"/>
      <c r="T107" s="212"/>
      <c r="U107" s="211"/>
      <c r="V107" s="211"/>
      <c r="W107" s="212"/>
      <c r="X107" s="213"/>
      <c r="Y107" s="214"/>
      <c r="Z107" s="213"/>
      <c r="AA107" s="45"/>
      <c r="AB107" s="45"/>
      <c r="AC107" s="207"/>
      <c r="AD107" s="207"/>
      <c r="AE107" s="207"/>
      <c r="AF107" s="17"/>
      <c r="AG107" s="17"/>
      <c r="AH107" s="215"/>
      <c r="AI107" s="216"/>
      <c r="AJ107" s="217"/>
      <c r="AK107" s="210"/>
      <c r="AL107" s="210"/>
      <c r="AM107" s="210"/>
      <c r="AN107" s="218"/>
      <c r="AO107" s="210"/>
      <c r="AP107" s="219"/>
      <c r="AQ107" s="220"/>
      <c r="AR107" s="219"/>
      <c r="AS107" s="221"/>
      <c r="AT107" s="221"/>
      <c r="AU107" s="222"/>
      <c r="AV107" s="222"/>
      <c r="AW107" s="223"/>
      <c r="AX107" s="223"/>
      <c r="AY107" s="206"/>
      <c r="AZ107" s="224"/>
      <c r="BA107" s="219"/>
      <c r="BB107" s="219"/>
      <c r="BC107" s="219"/>
      <c r="BD107" s="219"/>
      <c r="BE107" s="219"/>
      <c r="BF107" s="219"/>
      <c r="BG107" s="219"/>
      <c r="BH107" s="219"/>
      <c r="BI107" s="219"/>
      <c r="BJ107" s="225"/>
      <c r="BK107" s="225"/>
      <c r="BL107" s="234"/>
      <c r="BM107" s="234"/>
      <c r="BN107" s="235"/>
      <c r="BO107" s="236" t="s">
        <v>388</v>
      </c>
      <c r="BP107" s="237" t="str">
        <f>VLOOKUP(BP101,B:AO,12,0)</f>
        <v>#N/A</v>
      </c>
      <c r="BQ107" s="238" t="s">
        <v>378</v>
      </c>
      <c r="BR107" s="232"/>
      <c r="BS107" s="232"/>
      <c r="BT107" s="232"/>
    </row>
    <row r="108">
      <c r="A108" s="203"/>
      <c r="B108" s="204"/>
      <c r="C108" s="205"/>
      <c r="D108" s="205"/>
      <c r="E108" s="205"/>
      <c r="F108" s="206"/>
      <c r="G108" s="206"/>
      <c r="H108" s="39"/>
      <c r="I108" s="207"/>
      <c r="J108" s="208"/>
      <c r="K108" s="208"/>
      <c r="L108" s="207"/>
      <c r="M108" s="207"/>
      <c r="N108" s="209"/>
      <c r="O108" s="239"/>
      <c r="P108" s="209"/>
      <c r="Q108" s="210"/>
      <c r="R108" s="210"/>
      <c r="S108" s="211"/>
      <c r="T108" s="212"/>
      <c r="U108" s="211"/>
      <c r="V108" s="211"/>
      <c r="W108" s="212"/>
      <c r="X108" s="213"/>
      <c r="Y108" s="214"/>
      <c r="Z108" s="213"/>
      <c r="AA108" s="45"/>
      <c r="AB108" s="45"/>
      <c r="AC108" s="207"/>
      <c r="AD108" s="207"/>
      <c r="AE108" s="207"/>
      <c r="AF108" s="17"/>
      <c r="AG108" s="17"/>
      <c r="AH108" s="215"/>
      <c r="AI108" s="216"/>
      <c r="AJ108" s="217"/>
      <c r="AK108" s="210"/>
      <c r="AL108" s="210"/>
      <c r="AM108" s="210"/>
      <c r="AN108" s="218"/>
      <c r="AO108" s="210"/>
      <c r="AP108" s="219"/>
      <c r="AQ108" s="220"/>
      <c r="AR108" s="219"/>
      <c r="AS108" s="221"/>
      <c r="AT108" s="221"/>
      <c r="AU108" s="222"/>
      <c r="AV108" s="222"/>
      <c r="AW108" s="223"/>
      <c r="AX108" s="223"/>
      <c r="AY108" s="206"/>
      <c r="AZ108" s="224"/>
      <c r="BA108" s="219"/>
      <c r="BB108" s="219"/>
      <c r="BC108" s="219"/>
      <c r="BD108" s="219"/>
      <c r="BE108" s="219"/>
      <c r="BF108" s="219"/>
      <c r="BG108" s="219"/>
      <c r="BH108" s="219"/>
      <c r="BI108" s="219"/>
      <c r="BJ108" s="225"/>
      <c r="BK108" s="225"/>
      <c r="BL108" s="234"/>
      <c r="BM108" s="234"/>
      <c r="BN108" s="235"/>
      <c r="BO108" s="236" t="s">
        <v>389</v>
      </c>
      <c r="BP108" s="237" t="str">
        <f>VLOOKUP(BP101,B:AO,10,0)</f>
        <v>#N/A</v>
      </c>
      <c r="BQ108" s="238" t="s">
        <v>378</v>
      </c>
      <c r="BR108" s="232"/>
      <c r="BS108" s="232"/>
      <c r="BT108" s="232"/>
    </row>
    <row r="109">
      <c r="A109" s="203"/>
      <c r="B109" s="204"/>
      <c r="C109" s="205"/>
      <c r="D109" s="205"/>
      <c r="E109" s="205"/>
      <c r="F109" s="206"/>
      <c r="G109" s="206"/>
      <c r="H109" s="39"/>
      <c r="I109" s="207"/>
      <c r="J109" s="208"/>
      <c r="K109" s="208"/>
      <c r="L109" s="207"/>
      <c r="M109" s="207"/>
      <c r="N109" s="209"/>
      <c r="O109" s="239"/>
      <c r="P109" s="209"/>
      <c r="Q109" s="210"/>
      <c r="R109" s="210"/>
      <c r="S109" s="211"/>
      <c r="T109" s="212"/>
      <c r="U109" s="211"/>
      <c r="V109" s="211"/>
      <c r="W109" s="212"/>
      <c r="X109" s="213"/>
      <c r="Y109" s="214"/>
      <c r="Z109" s="213"/>
      <c r="AA109" s="45"/>
      <c r="AB109" s="45"/>
      <c r="AC109" s="207"/>
      <c r="AD109" s="207"/>
      <c r="AE109" s="207"/>
      <c r="AF109" s="17"/>
      <c r="AG109" s="17"/>
      <c r="AH109" s="215"/>
      <c r="AI109" s="216"/>
      <c r="AJ109" s="217"/>
      <c r="AK109" s="210"/>
      <c r="AL109" s="210"/>
      <c r="AM109" s="210"/>
      <c r="AN109" s="218"/>
      <c r="AO109" s="210"/>
      <c r="AP109" s="219"/>
      <c r="AQ109" s="220"/>
      <c r="AR109" s="219"/>
      <c r="AS109" s="221"/>
      <c r="AT109" s="221"/>
      <c r="AU109" s="222"/>
      <c r="AV109" s="222"/>
      <c r="AW109" s="223"/>
      <c r="AX109" s="223"/>
      <c r="AY109" s="206"/>
      <c r="AZ109" s="224"/>
      <c r="BA109" s="219"/>
      <c r="BB109" s="219"/>
      <c r="BC109" s="219"/>
      <c r="BD109" s="219"/>
      <c r="BE109" s="219"/>
      <c r="BF109" s="219"/>
      <c r="BG109" s="219"/>
      <c r="BH109" s="219"/>
      <c r="BI109" s="219"/>
      <c r="BJ109" s="225"/>
      <c r="BK109" s="225"/>
      <c r="BL109" s="234"/>
      <c r="BM109" s="234"/>
      <c r="BN109" s="235"/>
      <c r="BO109" s="236" t="s">
        <v>390</v>
      </c>
      <c r="BP109" s="237" t="str">
        <f>VLOOKUP(BP101,B:L,8,0)</f>
        <v>#N/A</v>
      </c>
      <c r="BQ109" s="238" t="s">
        <v>378</v>
      </c>
      <c r="BR109" s="232"/>
      <c r="BS109" s="232"/>
      <c r="BT109" s="232"/>
    </row>
    <row r="110">
      <c r="A110" s="203"/>
      <c r="B110" s="204"/>
      <c r="C110" s="205"/>
      <c r="D110" s="205"/>
      <c r="E110" s="205"/>
      <c r="F110" s="206"/>
      <c r="G110" s="206"/>
      <c r="H110" s="39"/>
      <c r="I110" s="207"/>
      <c r="J110" s="208"/>
      <c r="K110" s="208"/>
      <c r="L110" s="207"/>
      <c r="M110" s="207"/>
      <c r="N110" s="209"/>
      <c r="O110" s="239"/>
      <c r="P110" s="209"/>
      <c r="Q110" s="210"/>
      <c r="R110" s="210"/>
      <c r="S110" s="211"/>
      <c r="T110" s="212"/>
      <c r="U110" s="211"/>
      <c r="V110" s="211"/>
      <c r="W110" s="212"/>
      <c r="X110" s="213"/>
      <c r="Y110" s="214"/>
      <c r="Z110" s="213"/>
      <c r="AA110" s="45"/>
      <c r="AB110" s="45"/>
      <c r="AC110" s="207"/>
      <c r="AD110" s="207"/>
      <c r="AE110" s="207"/>
      <c r="AF110" s="17"/>
      <c r="AG110" s="17"/>
      <c r="AH110" s="215"/>
      <c r="AI110" s="216"/>
      <c r="AJ110" s="217"/>
      <c r="AK110" s="210"/>
      <c r="AL110" s="210"/>
      <c r="AM110" s="210"/>
      <c r="AN110" s="218"/>
      <c r="AO110" s="210"/>
      <c r="AP110" s="219"/>
      <c r="AQ110" s="220"/>
      <c r="AR110" s="219"/>
      <c r="AS110" s="221"/>
      <c r="AT110" s="221"/>
      <c r="AU110" s="222"/>
      <c r="AV110" s="222"/>
      <c r="AW110" s="223"/>
      <c r="AX110" s="223"/>
      <c r="AY110" s="206"/>
      <c r="AZ110" s="224"/>
      <c r="BA110" s="219"/>
      <c r="BB110" s="219"/>
      <c r="BC110" s="219"/>
      <c r="BD110" s="219"/>
      <c r="BE110" s="219"/>
      <c r="BF110" s="219"/>
      <c r="BG110" s="219"/>
      <c r="BH110" s="219"/>
      <c r="BI110" s="219"/>
      <c r="BJ110" s="225"/>
      <c r="BK110" s="225"/>
      <c r="BL110" s="234"/>
      <c r="BM110" s="234"/>
      <c r="BN110" s="235"/>
      <c r="BO110" s="236" t="s">
        <v>391</v>
      </c>
      <c r="BP110" s="237" t="str">
        <f>VLOOKUP(BP101,B:J,9,0)</f>
        <v>#N/A</v>
      </c>
      <c r="BQ110" s="238" t="s">
        <v>378</v>
      </c>
      <c r="BR110" s="232"/>
      <c r="BS110" s="232"/>
      <c r="BT110" s="232"/>
    </row>
    <row r="111">
      <c r="A111" s="203"/>
      <c r="B111" s="204"/>
      <c r="C111" s="205"/>
      <c r="D111" s="205"/>
      <c r="E111" s="205"/>
      <c r="F111" s="206"/>
      <c r="G111" s="206"/>
      <c r="H111" s="39"/>
      <c r="I111" s="207"/>
      <c r="J111" s="208"/>
      <c r="K111" s="208"/>
      <c r="L111" s="207"/>
      <c r="M111" s="207"/>
      <c r="N111" s="209"/>
      <c r="O111" s="239"/>
      <c r="P111" s="209"/>
      <c r="Q111" s="210"/>
      <c r="R111" s="210"/>
      <c r="S111" s="211"/>
      <c r="T111" s="212"/>
      <c r="U111" s="211"/>
      <c r="V111" s="211"/>
      <c r="W111" s="212"/>
      <c r="X111" s="213"/>
      <c r="Y111" s="214"/>
      <c r="Z111" s="213"/>
      <c r="AA111" s="45"/>
      <c r="AB111" s="45"/>
      <c r="AC111" s="207"/>
      <c r="AD111" s="207"/>
      <c r="AE111" s="207"/>
      <c r="AF111" s="17"/>
      <c r="AG111" s="17"/>
      <c r="AH111" s="215"/>
      <c r="AI111" s="216"/>
      <c r="AJ111" s="217"/>
      <c r="AK111" s="210"/>
      <c r="AL111" s="210"/>
      <c r="AM111" s="210"/>
      <c r="AN111" s="218"/>
      <c r="AO111" s="210"/>
      <c r="AP111" s="219"/>
      <c r="AQ111" s="220"/>
      <c r="AR111" s="219"/>
      <c r="AS111" s="221"/>
      <c r="AT111" s="221"/>
      <c r="AU111" s="222"/>
      <c r="AV111" s="222"/>
      <c r="AW111" s="223"/>
      <c r="AX111" s="223"/>
      <c r="AY111" s="206"/>
      <c r="AZ111" s="224"/>
      <c r="BA111" s="219"/>
      <c r="BB111" s="219"/>
      <c r="BC111" s="219"/>
      <c r="BD111" s="219"/>
      <c r="BE111" s="219"/>
      <c r="BF111" s="219"/>
      <c r="BG111" s="219"/>
      <c r="BH111" s="219"/>
      <c r="BI111" s="219"/>
      <c r="BJ111" s="225"/>
      <c r="BK111" s="225"/>
      <c r="BL111" s="234"/>
      <c r="BM111" s="234"/>
      <c r="BN111" s="235"/>
      <c r="BO111" s="236" t="s">
        <v>392</v>
      </c>
      <c r="BP111" s="244" t="str">
        <f>VLOOKUP(BP101,B:AO,21,0)</f>
        <v>#N/A</v>
      </c>
      <c r="BQ111" s="238" t="s">
        <v>378</v>
      </c>
      <c r="BR111" s="232"/>
      <c r="BS111" s="232"/>
      <c r="BT111" s="232"/>
    </row>
    <row r="112">
      <c r="A112" s="203"/>
      <c r="B112" s="204"/>
      <c r="C112" s="205"/>
      <c r="D112" s="205"/>
      <c r="E112" s="205"/>
      <c r="F112" s="206"/>
      <c r="G112" s="206"/>
      <c r="H112" s="39"/>
      <c r="I112" s="207"/>
      <c r="J112" s="208"/>
      <c r="K112" s="208"/>
      <c r="L112" s="207"/>
      <c r="M112" s="207"/>
      <c r="N112" s="209"/>
      <c r="O112" s="239"/>
      <c r="P112" s="209"/>
      <c r="Q112" s="210"/>
      <c r="R112" s="210"/>
      <c r="S112" s="211"/>
      <c r="T112" s="212"/>
      <c r="U112" s="211"/>
      <c r="V112" s="211"/>
      <c r="W112" s="212"/>
      <c r="X112" s="213"/>
      <c r="Y112" s="214"/>
      <c r="Z112" s="213"/>
      <c r="AA112" s="45"/>
      <c r="AB112" s="45"/>
      <c r="AC112" s="207"/>
      <c r="AD112" s="207"/>
      <c r="AE112" s="207"/>
      <c r="AF112" s="17"/>
      <c r="AG112" s="17"/>
      <c r="AH112" s="215"/>
      <c r="AI112" s="216"/>
      <c r="AJ112" s="217"/>
      <c r="AK112" s="210"/>
      <c r="AL112" s="210"/>
      <c r="AM112" s="210"/>
      <c r="AN112" s="218"/>
      <c r="AO112" s="210"/>
      <c r="AP112" s="219"/>
      <c r="AQ112" s="220"/>
      <c r="AR112" s="219"/>
      <c r="AS112" s="221"/>
      <c r="AT112" s="221"/>
      <c r="AU112" s="222"/>
      <c r="AV112" s="222"/>
      <c r="AW112" s="223"/>
      <c r="AX112" s="223"/>
      <c r="AY112" s="206"/>
      <c r="AZ112" s="224"/>
      <c r="BA112" s="219"/>
      <c r="BB112" s="219"/>
      <c r="BC112" s="219"/>
      <c r="BD112" s="219"/>
      <c r="BE112" s="219"/>
      <c r="BF112" s="219"/>
      <c r="BG112" s="219"/>
      <c r="BH112" s="219"/>
      <c r="BI112" s="219"/>
      <c r="BJ112" s="225"/>
      <c r="BK112" s="225"/>
      <c r="BL112" s="234"/>
      <c r="BM112" s="234"/>
      <c r="BN112" s="235"/>
      <c r="BO112" s="236" t="s">
        <v>393</v>
      </c>
      <c r="BP112" s="237" t="str">
        <f>VLOOKUP(BP101,B:AO,40,0)</f>
        <v>#N/A</v>
      </c>
      <c r="BQ112" s="238" t="s">
        <v>378</v>
      </c>
      <c r="BR112" s="232"/>
      <c r="BS112" s="232"/>
      <c r="BT112" s="232"/>
    </row>
    <row r="113">
      <c r="A113" s="203"/>
      <c r="B113" s="204"/>
      <c r="C113" s="205"/>
      <c r="D113" s="205"/>
      <c r="E113" s="205"/>
      <c r="F113" s="206"/>
      <c r="G113" s="206"/>
      <c r="H113" s="39"/>
      <c r="I113" s="207"/>
      <c r="J113" s="208"/>
      <c r="K113" s="208"/>
      <c r="L113" s="207"/>
      <c r="M113" s="207"/>
      <c r="N113" s="209"/>
      <c r="O113" s="239"/>
      <c r="P113" s="209"/>
      <c r="Q113" s="210"/>
      <c r="R113" s="210"/>
      <c r="S113" s="211"/>
      <c r="T113" s="212"/>
      <c r="U113" s="211"/>
      <c r="V113" s="211"/>
      <c r="W113" s="212"/>
      <c r="X113" s="213"/>
      <c r="Y113" s="214"/>
      <c r="Z113" s="213"/>
      <c r="AA113" s="45"/>
      <c r="AB113" s="45"/>
      <c r="AC113" s="207"/>
      <c r="AD113" s="207"/>
      <c r="AE113" s="207"/>
      <c r="AF113" s="17"/>
      <c r="AG113" s="17"/>
      <c r="AH113" s="215"/>
      <c r="AI113" s="216"/>
      <c r="AJ113" s="217"/>
      <c r="AK113" s="210"/>
      <c r="AL113" s="210"/>
      <c r="AM113" s="210"/>
      <c r="AN113" s="218"/>
      <c r="AO113" s="210"/>
      <c r="AP113" s="219"/>
      <c r="AQ113" s="220"/>
      <c r="AR113" s="219"/>
      <c r="AS113" s="221"/>
      <c r="AT113" s="221"/>
      <c r="AU113" s="222"/>
      <c r="AV113" s="222"/>
      <c r="AW113" s="223"/>
      <c r="AX113" s="223"/>
      <c r="AY113" s="206"/>
      <c r="AZ113" s="224"/>
      <c r="BA113" s="219"/>
      <c r="BB113" s="219"/>
      <c r="BC113" s="219"/>
      <c r="BD113" s="219"/>
      <c r="BE113" s="219"/>
      <c r="BF113" s="219"/>
      <c r="BG113" s="219"/>
      <c r="BH113" s="219"/>
      <c r="BI113" s="219"/>
      <c r="BJ113" s="225"/>
      <c r="BK113" s="225"/>
      <c r="BL113" s="234"/>
      <c r="BM113" s="234"/>
      <c r="BN113" s="235"/>
      <c r="BO113" s="236" t="s">
        <v>394</v>
      </c>
      <c r="BP113" s="245" t="str">
        <f>VLOOKUP(BP101,B:AO,39,0)</f>
        <v>#N/A</v>
      </c>
      <c r="BQ113" s="238" t="s">
        <v>378</v>
      </c>
      <c r="BR113" s="232"/>
      <c r="BS113" s="232"/>
      <c r="BT113" s="232"/>
    </row>
    <row r="114">
      <c r="A114" s="203"/>
      <c r="B114" s="204"/>
      <c r="C114" s="205"/>
      <c r="D114" s="205"/>
      <c r="E114" s="205"/>
      <c r="F114" s="206"/>
      <c r="G114" s="206"/>
      <c r="H114" s="39"/>
      <c r="I114" s="207"/>
      <c r="J114" s="208"/>
      <c r="K114" s="208"/>
      <c r="L114" s="207"/>
      <c r="M114" s="207"/>
      <c r="N114" s="209"/>
      <c r="O114" s="239"/>
      <c r="P114" s="209"/>
      <c r="Q114" s="210"/>
      <c r="R114" s="210"/>
      <c r="S114" s="211"/>
      <c r="T114" s="212"/>
      <c r="U114" s="211"/>
      <c r="V114" s="211"/>
      <c r="W114" s="212"/>
      <c r="X114" s="213"/>
      <c r="Y114" s="214"/>
      <c r="Z114" s="213"/>
      <c r="AA114" s="45"/>
      <c r="AB114" s="45"/>
      <c r="AC114" s="207"/>
      <c r="AD114" s="207"/>
      <c r="AE114" s="207"/>
      <c r="AF114" s="17"/>
      <c r="AG114" s="17"/>
      <c r="AH114" s="215"/>
      <c r="AI114" s="216"/>
      <c r="AJ114" s="217"/>
      <c r="AK114" s="210"/>
      <c r="AL114" s="210"/>
      <c r="AM114" s="210"/>
      <c r="AN114" s="218"/>
      <c r="AO114" s="210"/>
      <c r="AP114" s="219"/>
      <c r="AQ114" s="220"/>
      <c r="AR114" s="219"/>
      <c r="AS114" s="221"/>
      <c r="AT114" s="221"/>
      <c r="AU114" s="222"/>
      <c r="AV114" s="222"/>
      <c r="AW114" s="223"/>
      <c r="AX114" s="223"/>
      <c r="AY114" s="206"/>
      <c r="AZ114" s="224"/>
      <c r="BA114" s="219"/>
      <c r="BB114" s="219"/>
      <c r="BC114" s="219"/>
      <c r="BD114" s="219"/>
      <c r="BE114" s="219"/>
      <c r="BF114" s="219"/>
      <c r="BG114" s="219"/>
      <c r="BH114" s="219"/>
      <c r="BI114" s="219"/>
      <c r="BJ114" s="225"/>
      <c r="BK114" s="225"/>
      <c r="BL114" s="234"/>
      <c r="BM114" s="234"/>
      <c r="BN114" s="235"/>
      <c r="BO114" s="236" t="s">
        <v>395</v>
      </c>
      <c r="BP114" s="237" t="str">
        <f>VLOOKUP(BP101,B:AO,32,0)</f>
        <v>#N/A</v>
      </c>
      <c r="BQ114" s="238" t="s">
        <v>378</v>
      </c>
      <c r="BR114" s="232"/>
      <c r="BS114" s="232"/>
      <c r="BT114" s="232"/>
    </row>
    <row r="115">
      <c r="A115" s="203"/>
      <c r="B115" s="204"/>
      <c r="C115" s="205"/>
      <c r="D115" s="205"/>
      <c r="E115" s="205"/>
      <c r="F115" s="206"/>
      <c r="G115" s="206"/>
      <c r="H115" s="39"/>
      <c r="I115" s="207"/>
      <c r="J115" s="208"/>
      <c r="K115" s="208"/>
      <c r="L115" s="207"/>
      <c r="M115" s="207"/>
      <c r="N115" s="209"/>
      <c r="O115" s="239"/>
      <c r="P115" s="209"/>
      <c r="Q115" s="210"/>
      <c r="R115" s="210"/>
      <c r="S115" s="211"/>
      <c r="T115" s="212"/>
      <c r="U115" s="211"/>
      <c r="V115" s="211"/>
      <c r="W115" s="212"/>
      <c r="X115" s="213"/>
      <c r="Y115" s="214"/>
      <c r="Z115" s="213"/>
      <c r="AA115" s="45"/>
      <c r="AB115" s="45"/>
      <c r="AC115" s="207"/>
      <c r="AD115" s="207"/>
      <c r="AE115" s="207"/>
      <c r="AF115" s="17"/>
      <c r="AG115" s="17"/>
      <c r="AH115" s="215"/>
      <c r="AI115" s="216"/>
      <c r="AJ115" s="217"/>
      <c r="AK115" s="210"/>
      <c r="AL115" s="210"/>
      <c r="AM115" s="210"/>
      <c r="AN115" s="218"/>
      <c r="AO115" s="210"/>
      <c r="AP115" s="219"/>
      <c r="AQ115" s="220"/>
      <c r="AR115" s="219"/>
      <c r="AS115" s="221"/>
      <c r="AT115" s="221"/>
      <c r="AU115" s="222"/>
      <c r="AV115" s="222"/>
      <c r="AW115" s="223"/>
      <c r="AX115" s="223"/>
      <c r="AY115" s="206"/>
      <c r="AZ115" s="224"/>
      <c r="BA115" s="219"/>
      <c r="BB115" s="219"/>
      <c r="BC115" s="219"/>
      <c r="BD115" s="219"/>
      <c r="BE115" s="219"/>
      <c r="BF115" s="219"/>
      <c r="BG115" s="219"/>
      <c r="BH115" s="219"/>
      <c r="BI115" s="219"/>
      <c r="BJ115" s="225"/>
      <c r="BK115" s="225"/>
      <c r="BL115" s="234"/>
      <c r="BM115" s="234"/>
      <c r="BN115" s="240"/>
      <c r="BO115" s="236" t="s">
        <v>396</v>
      </c>
      <c r="BP115" s="237" t="str">
        <f>IF(BP119=0,"N/A",BP119)</f>
        <v>#N/A</v>
      </c>
      <c r="BQ115" s="246" t="s">
        <v>397</v>
      </c>
      <c r="BR115" s="232"/>
      <c r="BS115" s="232"/>
      <c r="BT115" s="232"/>
    </row>
    <row r="116">
      <c r="A116" s="203"/>
      <c r="B116" s="204"/>
      <c r="C116" s="205"/>
      <c r="D116" s="205"/>
      <c r="E116" s="205"/>
      <c r="F116" s="206"/>
      <c r="G116" s="206"/>
      <c r="H116" s="39"/>
      <c r="I116" s="207"/>
      <c r="J116" s="208"/>
      <c r="K116" s="208"/>
      <c r="L116" s="207"/>
      <c r="M116" s="207"/>
      <c r="N116" s="209"/>
      <c r="O116" s="239"/>
      <c r="P116" s="209"/>
      <c r="Q116" s="210"/>
      <c r="R116" s="210"/>
      <c r="S116" s="211"/>
      <c r="T116" s="212"/>
      <c r="U116" s="211"/>
      <c r="V116" s="211"/>
      <c r="W116" s="212"/>
      <c r="X116" s="213"/>
      <c r="Y116" s="214"/>
      <c r="Z116" s="213"/>
      <c r="AA116" s="45"/>
      <c r="AB116" s="45"/>
      <c r="AC116" s="207"/>
      <c r="AD116" s="207"/>
      <c r="AE116" s="207"/>
      <c r="AF116" s="17"/>
      <c r="AG116" s="17"/>
      <c r="AH116" s="215"/>
      <c r="AI116" s="216"/>
      <c r="AJ116" s="217"/>
      <c r="AK116" s="210"/>
      <c r="AL116" s="210"/>
      <c r="AM116" s="210"/>
      <c r="AN116" s="218"/>
      <c r="AO116" s="210"/>
      <c r="AP116" s="219"/>
      <c r="AQ116" s="220"/>
      <c r="AR116" s="219"/>
      <c r="AS116" s="221"/>
      <c r="AT116" s="221"/>
      <c r="AU116" s="222"/>
      <c r="AV116" s="222"/>
      <c r="AW116" s="223"/>
      <c r="AX116" s="223"/>
      <c r="AY116" s="206"/>
      <c r="AZ116" s="224"/>
      <c r="BA116" s="219"/>
      <c r="BB116" s="219"/>
      <c r="BC116" s="219"/>
      <c r="BD116" s="219"/>
      <c r="BE116" s="219"/>
      <c r="BF116" s="219"/>
      <c r="BG116" s="219"/>
      <c r="BH116" s="219"/>
      <c r="BI116" s="219"/>
      <c r="BJ116" s="225"/>
      <c r="BK116" s="225"/>
      <c r="BL116" s="234"/>
      <c r="BM116" s="234"/>
      <c r="BN116" s="240"/>
      <c r="BO116" s="236" t="s">
        <v>398</v>
      </c>
      <c r="BP116" s="247">
        <v>0.0</v>
      </c>
      <c r="BQ116" s="246" t="s">
        <v>399</v>
      </c>
      <c r="BR116" s="232"/>
      <c r="BS116" s="232"/>
      <c r="BT116" s="232"/>
    </row>
    <row r="117">
      <c r="A117" s="203"/>
      <c r="B117" s="204"/>
      <c r="C117" s="205"/>
      <c r="D117" s="205"/>
      <c r="E117" s="205"/>
      <c r="F117" s="206"/>
      <c r="G117" s="206"/>
      <c r="H117" s="39"/>
      <c r="I117" s="207"/>
      <c r="J117" s="208"/>
      <c r="K117" s="208"/>
      <c r="L117" s="207"/>
      <c r="M117" s="207"/>
      <c r="N117" s="209"/>
      <c r="O117" s="239"/>
      <c r="P117" s="209"/>
      <c r="Q117" s="210"/>
      <c r="R117" s="210"/>
      <c r="S117" s="211"/>
      <c r="T117" s="212"/>
      <c r="U117" s="211"/>
      <c r="V117" s="211"/>
      <c r="W117" s="212"/>
      <c r="X117" s="213"/>
      <c r="Y117" s="214"/>
      <c r="Z117" s="213"/>
      <c r="AA117" s="45"/>
      <c r="AB117" s="45"/>
      <c r="AC117" s="207"/>
      <c r="AD117" s="207"/>
      <c r="AE117" s="207"/>
      <c r="AF117" s="17"/>
      <c r="AG117" s="17"/>
      <c r="AH117" s="215"/>
      <c r="AI117" s="216"/>
      <c r="AJ117" s="217"/>
      <c r="AK117" s="210"/>
      <c r="AL117" s="210"/>
      <c r="AM117" s="210"/>
      <c r="AN117" s="218"/>
      <c r="AO117" s="210"/>
      <c r="AP117" s="219"/>
      <c r="AQ117" s="220"/>
      <c r="AR117" s="219"/>
      <c r="AS117" s="221"/>
      <c r="AT117" s="221"/>
      <c r="AU117" s="222"/>
      <c r="AV117" s="222"/>
      <c r="AW117" s="223"/>
      <c r="AX117" s="223"/>
      <c r="AY117" s="206"/>
      <c r="AZ117" s="224"/>
      <c r="BA117" s="219"/>
      <c r="BB117" s="219"/>
      <c r="BC117" s="219"/>
      <c r="BD117" s="219"/>
      <c r="BE117" s="219"/>
      <c r="BF117" s="219"/>
      <c r="BG117" s="219"/>
      <c r="BH117" s="219"/>
      <c r="BI117" s="219"/>
      <c r="BJ117" s="225"/>
      <c r="BK117" s="225"/>
      <c r="BL117" s="234"/>
      <c r="BM117" s="234"/>
      <c r="BN117" s="240"/>
      <c r="BO117" s="236" t="s">
        <v>400</v>
      </c>
      <c r="BP117" s="248"/>
      <c r="BQ117" s="246" t="s">
        <v>401</v>
      </c>
      <c r="BR117" s="232"/>
      <c r="BS117" s="232"/>
      <c r="BT117" s="232"/>
    </row>
    <row r="118">
      <c r="A118" s="203"/>
      <c r="B118" s="204"/>
      <c r="C118" s="205"/>
      <c r="D118" s="205"/>
      <c r="E118" s="205"/>
      <c r="F118" s="206"/>
      <c r="G118" s="206"/>
      <c r="H118" s="39"/>
      <c r="I118" s="207"/>
      <c r="J118" s="208"/>
      <c r="K118" s="208"/>
      <c r="L118" s="207"/>
      <c r="M118" s="207"/>
      <c r="N118" s="209"/>
      <c r="O118" s="239"/>
      <c r="P118" s="209"/>
      <c r="Q118" s="210"/>
      <c r="R118" s="210"/>
      <c r="S118" s="211"/>
      <c r="T118" s="212"/>
      <c r="U118" s="211"/>
      <c r="V118" s="211"/>
      <c r="W118" s="212"/>
      <c r="X118" s="213"/>
      <c r="Y118" s="214"/>
      <c r="Z118" s="213"/>
      <c r="AA118" s="45"/>
      <c r="AB118" s="45"/>
      <c r="AC118" s="207"/>
      <c r="AD118" s="207"/>
      <c r="AE118" s="207"/>
      <c r="AF118" s="17"/>
      <c r="AG118" s="17"/>
      <c r="AH118" s="215"/>
      <c r="AI118" s="216"/>
      <c r="AJ118" s="217"/>
      <c r="AK118" s="210"/>
      <c r="AL118" s="210"/>
      <c r="AM118" s="210"/>
      <c r="AN118" s="218"/>
      <c r="AO118" s="210"/>
      <c r="AP118" s="219"/>
      <c r="AQ118" s="220"/>
      <c r="AR118" s="219"/>
      <c r="AS118" s="221"/>
      <c r="AT118" s="221"/>
      <c r="AU118" s="222"/>
      <c r="AV118" s="222"/>
      <c r="AW118" s="223"/>
      <c r="AX118" s="223"/>
      <c r="AY118" s="206"/>
      <c r="AZ118" s="224"/>
      <c r="BA118" s="219"/>
      <c r="BB118" s="219"/>
      <c r="BC118" s="219"/>
      <c r="BD118" s="219"/>
      <c r="BE118" s="219"/>
      <c r="BF118" s="219"/>
      <c r="BG118" s="219"/>
      <c r="BH118" s="219"/>
      <c r="BI118" s="219"/>
      <c r="BJ118" s="225"/>
      <c r="BK118" s="226"/>
      <c r="BL118" s="249"/>
      <c r="BM118" s="249"/>
      <c r="BN118" s="31"/>
      <c r="BO118" s="32"/>
      <c r="BP118" s="61" t="s">
        <v>402</v>
      </c>
      <c r="BQ118" s="32"/>
      <c r="BR118" s="32"/>
      <c r="BS118" s="32"/>
      <c r="BT118" s="32"/>
    </row>
    <row r="119">
      <c r="A119" s="203"/>
      <c r="B119" s="204"/>
      <c r="C119" s="205"/>
      <c r="D119" s="205"/>
      <c r="E119" s="205"/>
      <c r="F119" s="206"/>
      <c r="G119" s="206"/>
      <c r="H119" s="39"/>
      <c r="I119" s="207"/>
      <c r="J119" s="208"/>
      <c r="K119" s="208"/>
      <c r="L119" s="207"/>
      <c r="M119" s="207"/>
      <c r="N119" s="209"/>
      <c r="O119" s="239"/>
      <c r="P119" s="209"/>
      <c r="Q119" s="210"/>
      <c r="R119" s="210"/>
      <c r="S119" s="211"/>
      <c r="T119" s="212"/>
      <c r="U119" s="211"/>
      <c r="V119" s="211"/>
      <c r="W119" s="212"/>
      <c r="X119" s="213"/>
      <c r="Y119" s="214"/>
      <c r="Z119" s="213"/>
      <c r="AA119" s="45"/>
      <c r="AB119" s="45"/>
      <c r="AC119" s="207"/>
      <c r="AD119" s="207"/>
      <c r="AE119" s="207"/>
      <c r="AF119" s="17"/>
      <c r="AG119" s="17"/>
      <c r="AH119" s="215"/>
      <c r="AI119" s="216"/>
      <c r="AJ119" s="217"/>
      <c r="AK119" s="210"/>
      <c r="AL119" s="210"/>
      <c r="AM119" s="210"/>
      <c r="AN119" s="218"/>
      <c r="AO119" s="210"/>
      <c r="AP119" s="219"/>
      <c r="AQ119" s="220"/>
      <c r="AR119" s="219"/>
      <c r="AS119" s="221"/>
      <c r="AT119" s="221"/>
      <c r="AU119" s="222"/>
      <c r="AV119" s="222"/>
      <c r="AW119" s="223"/>
      <c r="AX119" s="223"/>
      <c r="AY119" s="206"/>
      <c r="AZ119" s="224"/>
      <c r="BA119" s="219"/>
      <c r="BB119" s="219"/>
      <c r="BC119" s="219"/>
      <c r="BD119" s="219"/>
      <c r="BE119" s="219"/>
      <c r="BF119" s="219"/>
      <c r="BG119" s="219"/>
      <c r="BH119" s="219"/>
      <c r="BI119" s="219"/>
      <c r="BJ119" s="225"/>
      <c r="BK119" s="226"/>
      <c r="BL119" s="249"/>
      <c r="BM119" s="249"/>
      <c r="BN119" s="31"/>
      <c r="BO119" s="250" t="s">
        <v>403</v>
      </c>
      <c r="BP119" s="251" t="str">
        <f>VLOOKUP(BP101,B:AO,29,0)</f>
        <v>#N/A</v>
      </c>
      <c r="BQ119" s="32"/>
      <c r="BR119" s="32"/>
      <c r="BS119" s="32"/>
      <c r="BT119" s="32"/>
    </row>
    <row r="120">
      <c r="A120" s="203"/>
      <c r="B120" s="204"/>
      <c r="C120" s="205"/>
      <c r="D120" s="205"/>
      <c r="E120" s="205"/>
      <c r="F120" s="206"/>
      <c r="G120" s="206"/>
      <c r="H120" s="39"/>
      <c r="I120" s="207"/>
      <c r="J120" s="208"/>
      <c r="K120" s="208"/>
      <c r="L120" s="207"/>
      <c r="M120" s="207"/>
      <c r="N120" s="209"/>
      <c r="O120" s="239"/>
      <c r="P120" s="209"/>
      <c r="Q120" s="210"/>
      <c r="R120" s="210"/>
      <c r="S120" s="211"/>
      <c r="T120" s="212"/>
      <c r="U120" s="211"/>
      <c r="V120" s="211"/>
      <c r="W120" s="212"/>
      <c r="X120" s="213"/>
      <c r="Y120" s="214"/>
      <c r="Z120" s="213"/>
      <c r="AA120" s="45"/>
      <c r="AB120" s="45"/>
      <c r="AC120" s="207"/>
      <c r="AD120" s="207"/>
      <c r="AE120" s="207"/>
      <c r="AF120" s="17"/>
      <c r="AG120" s="17"/>
      <c r="AH120" s="215"/>
      <c r="AI120" s="216"/>
      <c r="AJ120" s="217"/>
      <c r="AK120" s="210"/>
      <c r="AL120" s="210"/>
      <c r="AM120" s="210"/>
      <c r="AN120" s="218"/>
      <c r="AO120" s="210"/>
      <c r="AP120" s="219"/>
      <c r="AQ120" s="220"/>
      <c r="AR120" s="219"/>
      <c r="AS120" s="221"/>
      <c r="AT120" s="221"/>
      <c r="AU120" s="222"/>
      <c r="AV120" s="222"/>
      <c r="AW120" s="223"/>
      <c r="AX120" s="223"/>
      <c r="AY120" s="206"/>
      <c r="AZ120" s="224"/>
      <c r="BA120" s="219"/>
      <c r="BB120" s="219"/>
      <c r="BC120" s="219"/>
      <c r="BD120" s="219"/>
      <c r="BE120" s="219"/>
      <c r="BF120" s="219"/>
      <c r="BG120" s="219"/>
      <c r="BH120" s="219"/>
      <c r="BI120" s="219"/>
      <c r="BJ120" s="225"/>
      <c r="BK120" s="225"/>
      <c r="BL120" s="234"/>
      <c r="BM120" s="234"/>
      <c r="BN120" s="31"/>
      <c r="BO120" s="32"/>
      <c r="BP120" s="32"/>
      <c r="BQ120" s="32"/>
      <c r="BR120" s="32"/>
      <c r="BS120" s="32"/>
      <c r="BT120" s="32"/>
    </row>
    <row r="121">
      <c r="A121" s="203"/>
      <c r="B121" s="204"/>
      <c r="C121" s="205"/>
      <c r="D121" s="205"/>
      <c r="E121" s="205"/>
      <c r="F121" s="206"/>
      <c r="G121" s="206"/>
      <c r="H121" s="39"/>
      <c r="I121" s="207"/>
      <c r="J121" s="208"/>
      <c r="K121" s="208"/>
      <c r="L121" s="207"/>
      <c r="M121" s="207"/>
      <c r="N121" s="209"/>
      <c r="O121" s="239"/>
      <c r="P121" s="209"/>
      <c r="Q121" s="210"/>
      <c r="R121" s="210"/>
      <c r="S121" s="211"/>
      <c r="T121" s="212"/>
      <c r="U121" s="32"/>
      <c r="V121" s="211"/>
      <c r="W121" s="212"/>
      <c r="X121" s="213"/>
      <c r="Y121" s="214"/>
      <c r="Z121" s="213"/>
      <c r="AA121" s="45"/>
      <c r="AB121" s="45"/>
      <c r="AC121" s="207"/>
      <c r="AD121" s="207"/>
      <c r="AE121" s="207"/>
      <c r="AF121" s="17"/>
      <c r="AG121" s="17"/>
      <c r="AH121" s="215"/>
      <c r="AI121" s="216"/>
      <c r="AJ121" s="217"/>
      <c r="AK121" s="210"/>
      <c r="AL121" s="210"/>
      <c r="AM121" s="210"/>
      <c r="AN121" s="218"/>
      <c r="AO121" s="210"/>
      <c r="AP121" s="219"/>
      <c r="AQ121" s="220"/>
      <c r="AR121" s="219"/>
      <c r="AS121" s="221"/>
      <c r="AT121" s="221"/>
      <c r="AU121" s="222"/>
      <c r="AV121" s="222"/>
      <c r="AW121" s="223"/>
      <c r="AX121" s="223"/>
      <c r="AY121" s="206"/>
      <c r="AZ121" s="224"/>
      <c r="BA121" s="219"/>
      <c r="BB121" s="219"/>
      <c r="BC121" s="219"/>
      <c r="BD121" s="219"/>
      <c r="BE121" s="219"/>
      <c r="BF121" s="219"/>
      <c r="BG121" s="219"/>
      <c r="BH121" s="219"/>
      <c r="BI121" s="219"/>
      <c r="BJ121" s="225"/>
      <c r="BK121" s="225"/>
      <c r="BL121" s="234"/>
      <c r="BM121" s="234"/>
      <c r="BN121" s="31"/>
      <c r="BO121" s="32"/>
      <c r="BP121" s="32"/>
      <c r="BQ121" s="32"/>
      <c r="BR121" s="32"/>
      <c r="BS121" s="32"/>
      <c r="BT121" s="32"/>
    </row>
  </sheetData>
  <customSheetViews>
    <customSheetView guid="{B100B79F-8789-4C01-9386-D3CEB6F39D64}" filter="1" showAutoFilter="1">
      <autoFilter ref="$A$4:$BT$121"/>
    </customSheetView>
    <customSheetView guid="{88BF03F9-A857-49DB-B6C2-C94AB5F03FD0}" filter="1" showAutoFilter="1">
      <autoFilter ref="$B$4:$BN$98">
        <filterColumn colId="12">
          <filters blank="1">
            <filter val="19/12/25"/>
          </filters>
        </filterColumn>
        <sortState ref="B4:BN98">
          <sortCondition ref="F4:F98"/>
        </sortState>
      </autoFilter>
    </customSheetView>
    <customSheetView guid="{08130FF8-AD9F-4EB3-9789-0769F9EBFE4B}" filter="1" showAutoFilter="1">
      <autoFilter ref="$B$4:$BN$98">
        <filterColumn colId="8">
          <filters>
            <filter val="#N/A"/>
          </filters>
        </filterColumn>
      </autoFilter>
    </customSheetView>
    <customSheetView guid="{49862277-0B5D-4FB2-9F6A-073F49D2976A}" filter="1" showAutoFilter="1">
      <autoFilter ref="$A$4:$BK$98">
        <sortState ref="A4:BK98">
          <sortCondition ref="F4:F98"/>
        </sortState>
      </autoFilter>
    </customSheetView>
    <customSheetView guid="{ADF1A625-8591-4694-B499-25F55BE5D555}" filter="1" showAutoFilter="1">
      <autoFilter ref="$A$4:$BR$98">
        <filterColumn colId="6">
          <filters blank="1"/>
        </filterColumn>
        <sortState ref="A4:BR98">
          <sortCondition ref="F4:F98"/>
        </sortState>
      </autoFilter>
    </customSheetView>
    <customSheetView guid="{9D0B389F-B4FA-435D-866B-74BA04343AE2}" filter="1" showAutoFilter="1">
      <autoFilter ref="$B$4:$AZ$98">
        <filterColumn colId="5">
          <filters blank="1"/>
        </filterColumn>
      </autoFilter>
    </customSheetView>
    <customSheetView guid="{83D32205-562F-4991-95AA-5511EE3C8ED8}" filter="1" showAutoFilter="1">
      <autoFilter ref="$B$4:$BK$98"/>
    </customSheetView>
    <customSheetView guid="{F895B085-6CC2-4ABF-9753-E0466EFB8513}" filter="1" showAutoFilter="1">
      <autoFilter ref="$B$4:$AZ$98"/>
    </customSheetView>
    <customSheetView guid="{B83BCCE7-8166-4018-A26F-41B63253B006}" filter="1" showAutoFilter="1">
      <autoFilter ref="$A$4:$BT$117"/>
    </customSheetView>
    <customSheetView guid="{D5C2A8B5-33A9-4EC5-8782-47B18965D54F}" filter="1" showAutoFilter="1">
      <autoFilter ref="$B$4:$BN$98">
        <filterColumn colId="9">
          <filters>
            <filter val="NAILTON SANTANA PEREIRA FILHO - U344575"/>
          </filters>
        </filterColumn>
      </autoFilter>
    </customSheetView>
    <customSheetView guid="{8D149EEA-5E81-4E50-B209-18C149599FDB}" filter="1" showAutoFilter="1">
      <autoFilter ref="$B$4:$BK$98">
        <filterColumn colId="17">
          <filters>
            <filter val="CRIAR"/>
          </filters>
        </filterColumn>
        <sortState ref="B4:BK98">
          <sortCondition ref="F4:F98"/>
        </sortState>
      </autoFilter>
    </customSheetView>
    <customSheetView guid="{16A77DD8-B4AF-4DC1-BADA-9F450A5CC0A7}" filter="1" showAutoFilter="1">
      <autoFilter ref="$B$4:$AZ$98"/>
    </customSheetView>
    <customSheetView guid="{981EEA94-EFD8-451F-A1FE-7FC08DA18AB1}" filter="1" showAutoFilter="1">
      <autoFilter ref="$B$4:$BN$98"/>
    </customSheetView>
    <customSheetView guid="{675F3DF2-44DD-497D-98CA-3C10FB386C95}" filter="1" showAutoFilter="1">
      <autoFilter ref="$A$4:$BT$117">
        <filterColumn colId="5">
          <filters blank="1">
            <filter val="MUNDO NOVO"/>
            <filter val="OUROLÂNDIA"/>
            <filter val="VÁRZEA NOVA"/>
            <filter val="UMBURANAS"/>
            <filter val="MIGUEL CALMON"/>
          </filters>
        </filterColumn>
        <filterColumn colId="4">
          <colorFilter cellColor="0" dxfId="1"/>
        </filterColumn>
        <filterColumn colId="18">
          <filters>
            <filter val="CRIAR"/>
          </filters>
        </filterColumn>
        <filterColumn colId="21">
          <filters blank="1">
            <filter val="CRIAR"/>
          </filters>
        </filterColumn>
      </autoFilter>
    </customSheetView>
    <customSheetView guid="{677A84DB-6ADA-47C5-AF03-82CD5A37879F}" filter="1" showAutoFilter="1">
      <autoFilter ref="$A$4:$BN$98">
        <filterColumn colId="6">
          <filters blank="1"/>
        </filterColumn>
        <filterColumn colId="31">
          <filters/>
        </filterColumn>
        <filterColumn colId="32">
          <filters/>
        </filterColumn>
      </autoFilter>
    </customSheetView>
    <customSheetView guid="{C39A4092-40AA-4ECF-975F-107A5E13615A}" filter="1" showAutoFilter="1">
      <autoFilter ref="$B$4:$BN$98">
        <filterColumn colId="4">
          <filters/>
        </filterColumn>
      </autoFilter>
    </customSheetView>
    <customSheetView guid="{CF77F75F-8BE2-4D22-8039-81D2128A1098}" filter="1" showAutoFilter="1">
      <autoFilter ref="$A$4:$BR$98"/>
    </customSheetView>
    <customSheetView guid="{941F1DC7-A4D1-4A47-B07C-9F9980B91937}" filter="1" showAutoFilter="1">
      <autoFilter ref="$A$4:$BR$98"/>
    </customSheetView>
  </customSheetViews>
  <conditionalFormatting sqref="C5:D98">
    <cfRule type="expression" dxfId="2" priority="1">
      <formula>COUNTIF(#REF!,C5)&gt;1</formula>
    </cfRule>
  </conditionalFormatting>
  <conditionalFormatting sqref="C5:D98">
    <cfRule type="expression" dxfId="2" priority="2">
      <formula>COUNTIF(#REF!,C5)&gt;1</formula>
    </cfRule>
  </conditionalFormatting>
  <conditionalFormatting sqref="C5:D98">
    <cfRule type="expression" dxfId="2" priority="3">
      <formula>COUNTIF(#REF!,C5)&gt;1</formula>
    </cfRule>
  </conditionalFormatting>
  <conditionalFormatting sqref="A1:A2 C1:D98 B2:B98 AC3:AH3 A4">
    <cfRule type="expression" dxfId="3" priority="4">
      <formula>COUNTIF(A:A,A1)&gt;1</formula>
    </cfRule>
  </conditionalFormatting>
  <conditionalFormatting sqref="BA1:BA121">
    <cfRule type="containsText" dxfId="4" priority="5" operator="containsText" text="09">
      <formula>NOT(ISERROR(SEARCH(("09"),(BA1))))</formula>
    </cfRule>
  </conditionalFormatting>
  <conditionalFormatting sqref="BG1:BH121">
    <cfRule type="cellIs" dxfId="5" priority="6" operator="greaterThan">
      <formula>1200</formula>
    </cfRule>
  </conditionalFormatting>
  <conditionalFormatting sqref="BG1:BH121">
    <cfRule type="cellIs" dxfId="5" priority="7" operator="greaterThan">
      <formula>1200</formula>
    </cfRule>
  </conditionalFormatting>
  <conditionalFormatting sqref="T1:T121 W13 W22 W25 W27 W31:W32 W42">
    <cfRule type="colorScale" priority="8">
      <colorScale>
        <cfvo type="min"/>
        <cfvo type="max"/>
        <color rgb="FFEA9999"/>
        <color rgb="FFFFFFFF"/>
      </colorScale>
    </cfRule>
  </conditionalFormatting>
  <conditionalFormatting sqref="T1:T121 W13 W22 W25 W27 W31:W32 W42">
    <cfRule type="colorScale" priority="9">
      <colorScale>
        <cfvo type="min"/>
        <cfvo type="max"/>
        <color rgb="FFEA9999"/>
        <color rgb="FFFFFFFF"/>
      </colorScale>
    </cfRule>
  </conditionalFormatting>
  <conditionalFormatting sqref="T1:T121 W13 W22 W25 W27 W31:W32 W42">
    <cfRule type="colorScale" priority="10">
      <colorScale>
        <cfvo type="min"/>
        <cfvo type="max"/>
        <color rgb="FFEA9999"/>
        <color rgb="FFFFFFFF"/>
      </colorScale>
    </cfRule>
  </conditionalFormatting>
  <conditionalFormatting sqref="T1:T121 W13 W22 W25 W27 W31:W32 W42">
    <cfRule type="colorScale" priority="11">
      <colorScale>
        <cfvo type="min"/>
        <cfvo type="max"/>
        <color rgb="FFEA9999"/>
        <color rgb="FFFFFFFF"/>
      </colorScale>
    </cfRule>
  </conditionalFormatting>
  <conditionalFormatting sqref="T1:T121 W13 W22 W25 W27 W31:W32 W42">
    <cfRule type="colorScale" priority="12">
      <colorScale>
        <cfvo type="min"/>
        <cfvo type="max"/>
        <color rgb="FFEA9999"/>
        <color rgb="FFFFFFFF"/>
      </colorScale>
    </cfRule>
  </conditionalFormatting>
  <conditionalFormatting sqref="T1:T121 W13 W22 W25 W27 W31:W32 W42">
    <cfRule type="colorScale" priority="13">
      <colorScale>
        <cfvo type="min"/>
        <cfvo type="max"/>
        <color rgb="FFEA9999"/>
        <color rgb="FFFFFFFF"/>
      </colorScale>
    </cfRule>
  </conditionalFormatting>
  <conditionalFormatting sqref="T1:T121 W13 W22 W25 W27 W31:W32 W42">
    <cfRule type="colorScale" priority="14">
      <colorScale>
        <cfvo type="min"/>
        <cfvo type="max"/>
        <color rgb="FFEA9999"/>
        <color rgb="FFFFFFFF"/>
      </colorScale>
    </cfRule>
  </conditionalFormatting>
  <conditionalFormatting sqref="T1:T121 W13 W22 W25 W27 W31:W32 W42">
    <cfRule type="colorScale" priority="15">
      <colorScale>
        <cfvo type="min"/>
        <cfvo type="max"/>
        <color rgb="FFEA9999"/>
        <color rgb="FFFFFFFF"/>
      </colorScale>
    </cfRule>
  </conditionalFormatting>
  <conditionalFormatting sqref="T1:T121 W13 W22 W25 W27 W31:W32 W42">
    <cfRule type="colorScale" priority="16">
      <colorScale>
        <cfvo type="min"/>
        <cfvo type="max"/>
        <color rgb="FFEA9999"/>
        <color rgb="FFFFFFFF"/>
      </colorScale>
    </cfRule>
  </conditionalFormatting>
  <conditionalFormatting sqref="W1:W121">
    <cfRule type="colorScale" priority="17">
      <colorScale>
        <cfvo type="min"/>
        <cfvo type="max"/>
        <color rgb="FFEA9999"/>
        <color rgb="FFFFFFFF"/>
      </colorScale>
    </cfRule>
  </conditionalFormatting>
  <conditionalFormatting sqref="AA1:AA121">
    <cfRule type="containsText" dxfId="6" priority="18" operator="containsText" text="CRIAR">
      <formula>NOT(ISERROR(SEARCH(("CRIAR"),(AA1))))</formula>
    </cfRule>
  </conditionalFormatting>
  <conditionalFormatting sqref="S1:S121 U1:V121 T5 X5:X27 BK5:BK42 T14 T30 X30:X32 T38 X38 AA41 X42">
    <cfRule type="containsText" dxfId="6" priority="19" operator="containsText" text="CRIAR">
      <formula>NOT(ISERROR(SEARCH(("CRIAR"),(S1))))</formula>
    </cfRule>
  </conditionalFormatting>
  <conditionalFormatting sqref="X1:X121">
    <cfRule type="containsText" dxfId="6" priority="20" operator="containsText" text="CRIAR">
      <formula>NOT(ISERROR(SEARCH(("CRIAR"),(X1))))</formula>
    </cfRule>
  </conditionalFormatting>
  <dataValidations>
    <dataValidation type="list" allowBlank="1" showErrorMessage="1" sqref="K5:K98">
      <formula1>"ANTONIO ALBERTO GALINDO DE MELO - U470154,DAIANE ALMEIDA DO NASCIMENTO - U345247,DANILO COSTA SILVA - U464917,MANOEL GUSTAVO OLIVEIRA DOS S CONCEICAO - U464710,NAILTON SANTANA PEREIRA FILHO - U344575,NATALICIO MENDES DA SILVA - U107662,RAFAEL SANTOS DA CR"&amp;"UZ - U469504,RICARDO SANTOS DE BRITO - U465100,WELLINGTON RIBEIRO SOUZA - U470124,DIORLAN REIS - U352259 ,ERIC TEIXEIRA OLIVEIRA BARBOSA - U361045,ANDERSON ROBERTO DA SILVA CASTRO - U471407"</formula1>
    </dataValidation>
    <dataValidation type="list" allowBlank="1" showErrorMessage="1" sqref="I5:I98">
      <formula1>"DOUGLAS DA SILVA MELO - MRA666519,EMERSON DE CARVALHO SILVA - MRA152590,JULIO SERAFIM DAMACENO DOS SANTOS - MRA738523,FABIANO LOPES DE MORAES - MRA554506,JAILTON DA SILVA - MRA811574,GERALDO DA COSTA GOMES - MRA571535,LUCIANO NUNES DA SILVA - MRA252517,RO"&amp;"DRIGO SANTOS SILVA - MRA096553,CARLOS DA CRUZ SANTANA - MRA258541,CLEBSON REIS NETO - MRA148601,DIOGO CRUZ DOS SANTOS - MRA177595,JAIR DE JESUS - NTS219592,FRANCISCO GOES DE JESUS - NTS260555,CAIQUE SILVA LIMA - MRA219559"</formula1>
    </dataValidation>
    <dataValidation type="list" allowBlank="1" showErrorMessage="1" sqref="G5:G98">
      <formula1>"ENERGIZADA,CANCELADA,RETIRADA DA CARTEIRA,PARALISADA,EM EXECUÇÃO,PROGRAMADA"</formula1>
    </dataValidation>
    <dataValidation type="list" allowBlank="1" showErrorMessage="1" sqref="Z5:Z98">
      <formula1>"EMISSÃO,APROVADA,ANÁLISE,CANCELAR,SOLICITAR,CANCELADA,REFAZER,REPROVADO,CONCLUÍDA ,EM ATENDIMENTO,RETIRADA DA CARTEIRA,AGUARDANDO VISITA"</formula1>
    </dataValidation>
  </dataValidations>
  <hyperlinks>
    <hyperlink display="QUADRO ENERG." location="MAR.26!BO99" ref="F1"/>
    <hyperlink r:id="rId2" ref="F2"/>
    <hyperlink r:id="rId3" ref="AQ3"/>
    <hyperlink r:id="rId4" location="gid=2059889745" ref="X4"/>
    <hyperlink r:id="rId5" ref="AQ5"/>
    <hyperlink r:id="rId6" ref="AQ6"/>
    <hyperlink r:id="rId7" ref="AQ7"/>
    <hyperlink r:id="rId8" ref="AQ9"/>
    <hyperlink r:id="rId9" ref="AQ10"/>
    <hyperlink r:id="rId10" ref="AQ11"/>
    <hyperlink r:id="rId11" ref="AQ13"/>
    <hyperlink r:id="rId12" ref="AQ14"/>
    <hyperlink r:id="rId13" ref="AQ16"/>
    <hyperlink r:id="rId14" ref="AQ17"/>
    <hyperlink r:id="rId15" ref="AQ20"/>
    <hyperlink r:id="rId16" ref="AQ21"/>
    <hyperlink r:id="rId17" ref="P22"/>
    <hyperlink r:id="rId18" ref="AQ22"/>
    <hyperlink r:id="rId19" ref="AQ23"/>
    <hyperlink r:id="rId20" ref="AQ24"/>
    <hyperlink r:id="rId21" ref="AQ25"/>
    <hyperlink r:id="rId22" ref="AQ27"/>
    <hyperlink r:id="rId23" ref="AQ28"/>
    <hyperlink r:id="rId24" ref="AQ30"/>
    <hyperlink r:id="rId25" ref="AQ36"/>
    <hyperlink r:id="rId26" ref="AQ37"/>
    <hyperlink r:id="rId27" ref="AQ38"/>
    <hyperlink r:id="rId28" ref="AQ39"/>
    <hyperlink r:id="rId29" ref="AQ40"/>
    <hyperlink r:id="rId30" ref="AQ41"/>
    <hyperlink r:id="rId31" ref="AQ43"/>
  </hyperlinks>
  <printOptions horizontalCentered="1" verticalCentered="1"/>
  <pageMargins bottom="0.511811024" footer="0.0" header="0.0" left="0.787401575" right="0.787401575" top="0.511811024"/>
  <pageSetup paperSize="9" scale="85" orientation="landscape"/>
  <drawing r:id="rId32"/>
  <legacyDrawing r:id="rId3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6.0" ySplit="4.0" topLeftCell="G5" activePane="bottomRight" state="frozen"/>
      <selection activeCell="G1" sqref="G1" pane="topRight"/>
      <selection activeCell="A5" sqref="A5" pane="bottomLeft"/>
      <selection activeCell="G5" sqref="G5" pane="bottomRight"/>
    </sheetView>
  </sheetViews>
  <sheetFormatPr customHeight="1" defaultColWidth="14.43" defaultRowHeight="15.0" outlineLevelCol="2"/>
  <cols>
    <col customWidth="1" hidden="1" min="1" max="1" width="15.71" outlineLevel="1"/>
    <col collapsed="1" customWidth="1" min="2" max="2" width="13.86"/>
    <col customWidth="1" min="3" max="4" width="15.29" outlineLevel="1"/>
    <col customWidth="1" min="5" max="5" width="40.71"/>
    <col customWidth="1" min="6" max="6" width="16.29"/>
    <col customWidth="1" min="7" max="7" width="23.29"/>
    <col customWidth="1" min="8" max="8" width="44.86"/>
    <col customWidth="1" min="9" max="9" width="40.29"/>
    <col customWidth="1" min="10" max="10" width="32.57"/>
    <col customWidth="1" min="11" max="11" width="34.71"/>
    <col customWidth="1" min="12" max="12" width="26.29"/>
    <col customWidth="1" min="13" max="13" width="22.71"/>
    <col customWidth="1" min="14" max="14" width="14.0"/>
    <col customWidth="1" min="15" max="15" width="42.0"/>
    <col customWidth="1" min="16" max="16" width="14.43"/>
    <col customWidth="1" min="17" max="17" width="19.71"/>
    <col customWidth="1" min="18" max="18" width="13.86"/>
    <col customWidth="1" min="19" max="19" width="14.86" outlineLevel="1"/>
    <col customWidth="1" hidden="1" min="20" max="20" width="14.86" outlineLevel="2"/>
    <col collapsed="1" customWidth="1" min="21" max="21" width="15.14" outlineLevel="1"/>
    <col customWidth="1" min="22" max="22" width="14.86" outlineLevel="1"/>
    <col customWidth="1" hidden="1" min="23" max="23" width="14.86" outlineLevel="2"/>
    <col collapsed="1" customWidth="1" min="24" max="24" width="15.57" outlineLevel="1"/>
    <col customWidth="1" min="25" max="25" width="14.86" outlineLevel="1"/>
    <col customWidth="1" min="26" max="26" width="17.29" outlineLevel="1"/>
    <col customWidth="1" min="27" max="27" width="7.71" outlineLevel="1"/>
    <col customWidth="1" min="28" max="28" width="16.14" outlineLevel="1"/>
    <col collapsed="1" customWidth="1" min="29" max="29" width="13.71"/>
    <col customWidth="1" min="30" max="30" width="13.86"/>
    <col customWidth="1" min="31" max="31" width="14.71"/>
    <col customWidth="1" min="32" max="32" width="13.57"/>
    <col customWidth="1" min="33" max="34" width="12.71"/>
    <col customWidth="1" min="35" max="36" width="5.57"/>
    <col customWidth="1" min="37" max="37" width="13.57"/>
    <col customWidth="1" min="38" max="38" width="13.0"/>
    <col customWidth="1" min="39" max="39" width="21.0"/>
    <col customWidth="1" min="40" max="40" width="18.71"/>
    <col customWidth="1" min="41" max="41" width="13.0"/>
    <col customWidth="1" min="42" max="42" width="15.29"/>
    <col customWidth="1" min="43" max="43" width="15.14"/>
    <col customWidth="1" min="44" max="44" width="19.14"/>
    <col customWidth="1" min="45" max="45" width="15.0"/>
    <col customWidth="1" min="46" max="46" width="14.71"/>
    <col customWidth="1" min="47" max="47" width="11.86"/>
    <col customWidth="1" min="48" max="48" width="14.14"/>
    <col customWidth="1" min="49" max="50" width="9.0"/>
    <col customWidth="1" min="51" max="51" width="12.86"/>
    <col customWidth="1" min="52" max="52" width="65.29"/>
    <col customWidth="1" min="53" max="53" width="16.14"/>
    <col customWidth="1" min="54" max="54" width="10.14"/>
    <col customWidth="1" hidden="1" min="55" max="55" width="14.0" outlineLevel="1"/>
    <col customWidth="1" hidden="1" min="56" max="56" width="11.14" outlineLevel="1"/>
    <col customWidth="1" hidden="1" min="57" max="60" width="8.43" outlineLevel="1"/>
    <col collapsed="1" customWidth="1" min="61" max="61" width="9.86"/>
    <col customWidth="1" min="62" max="62" width="55.14" outlineLevel="1"/>
    <col customWidth="1" min="63" max="63" width="18.29"/>
    <col customWidth="1" hidden="1" min="64" max="64" width="10.14" outlineLevel="1"/>
    <col customWidth="1" hidden="1" min="65" max="65" width="13.0" outlineLevel="1"/>
    <col customWidth="1" hidden="1" min="66" max="66" width="14.0" outlineLevel="1"/>
    <col collapsed="1" customWidth="1" min="67" max="67" width="27.43"/>
    <col customWidth="1" min="68" max="68" width="49.0"/>
    <col customWidth="1" min="69" max="69" width="39.71"/>
    <col customWidth="1" min="70" max="70" width="17.86"/>
    <col customWidth="1" min="71" max="72" width="36.0"/>
  </cols>
  <sheetData>
    <row r="1">
      <c r="A1" s="1" t="s">
        <v>404</v>
      </c>
      <c r="B1" s="2" t="s">
        <v>405</v>
      </c>
      <c r="C1" s="3"/>
      <c r="D1" s="3"/>
      <c r="E1" s="4" t="s">
        <v>2</v>
      </c>
      <c r="F1" s="5" t="s">
        <v>3</v>
      </c>
      <c r="G1" s="6"/>
      <c r="H1" s="7"/>
      <c r="I1" s="8"/>
      <c r="J1" s="9"/>
      <c r="K1" s="10"/>
      <c r="L1" s="11" t="s">
        <v>4</v>
      </c>
      <c r="M1" s="11" t="s">
        <v>5</v>
      </c>
      <c r="N1" s="12"/>
      <c r="O1" s="13"/>
      <c r="P1" s="12"/>
      <c r="Q1" s="14" t="s">
        <v>6</v>
      </c>
      <c r="R1" s="12"/>
      <c r="S1" s="12"/>
      <c r="T1" s="15"/>
      <c r="U1" s="12"/>
      <c r="V1" s="16"/>
      <c r="W1" s="15"/>
      <c r="X1" s="17"/>
      <c r="Y1" s="12"/>
      <c r="Z1" s="17"/>
      <c r="AA1" s="18"/>
      <c r="AB1" s="18"/>
      <c r="AC1" s="19"/>
      <c r="AD1" s="14" t="s">
        <v>7</v>
      </c>
      <c r="AE1" s="20">
        <f>AE3/4</f>
        <v>178</v>
      </c>
      <c r="AF1" s="21" t="s">
        <v>8</v>
      </c>
      <c r="AG1" s="22">
        <f>AE3/12</f>
        <v>59.33333333</v>
      </c>
      <c r="AH1" s="18">
        <f>AE3*2480</f>
        <v>1765760</v>
      </c>
      <c r="AI1" s="8"/>
      <c r="AJ1" s="23"/>
      <c r="AK1" s="12"/>
      <c r="AL1" s="17"/>
      <c r="AM1" s="24"/>
      <c r="AN1" s="25"/>
      <c r="AO1" s="12"/>
      <c r="AP1" s="8"/>
      <c r="AQ1" s="17"/>
      <c r="AR1" s="8"/>
      <c r="AS1" s="26"/>
      <c r="AT1" s="27">
        <f>AT2/10</f>
        <v>205056</v>
      </c>
      <c r="AU1" s="8"/>
      <c r="AV1" s="8"/>
      <c r="AW1" s="8"/>
      <c r="AX1" s="8"/>
      <c r="AY1" s="8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28"/>
      <c r="BK1" s="29"/>
      <c r="BL1" s="30"/>
      <c r="BM1" s="30"/>
      <c r="BN1" s="31"/>
      <c r="BO1" s="32"/>
      <c r="BP1" s="32"/>
      <c r="BQ1" s="32"/>
      <c r="BR1" s="32"/>
      <c r="BS1" s="32"/>
      <c r="BT1" s="32"/>
    </row>
    <row r="2">
      <c r="A2" s="33" t="s">
        <v>9</v>
      </c>
      <c r="B2" s="34">
        <v>4.60008637E9</v>
      </c>
      <c r="C2" s="35"/>
      <c r="D2" s="36"/>
      <c r="E2" s="37">
        <f>E3/B3</f>
        <v>0.2371134021</v>
      </c>
      <c r="F2" s="38" t="s">
        <v>10</v>
      </c>
      <c r="G2" s="6"/>
      <c r="H2" s="39"/>
      <c r="I2" s="40"/>
      <c r="J2" s="10"/>
      <c r="K2" s="10"/>
      <c r="L2" s="41" t="s">
        <v>11</v>
      </c>
      <c r="M2" s="11" t="s">
        <v>12</v>
      </c>
      <c r="N2" s="12"/>
      <c r="O2" s="9"/>
      <c r="P2" s="12"/>
      <c r="Q2" s="14" t="s">
        <v>13</v>
      </c>
      <c r="R2" s="12"/>
      <c r="S2" s="12"/>
      <c r="T2" s="15"/>
      <c r="U2" s="12"/>
      <c r="V2" s="12"/>
      <c r="W2" s="15"/>
      <c r="X2" s="8"/>
      <c r="Y2" s="17"/>
      <c r="Z2" s="17"/>
      <c r="AA2" s="18"/>
      <c r="AB2" s="18"/>
      <c r="AC2" s="32"/>
      <c r="AD2" s="14" t="s">
        <v>14</v>
      </c>
      <c r="AE2" s="20">
        <f>AE3/B3</f>
        <v>7.340206186</v>
      </c>
      <c r="AF2" s="42">
        <f>AF3/AE3</f>
        <v>0.6882022472</v>
      </c>
      <c r="AG2" s="42">
        <f>AG3/AE3</f>
        <v>0.5912921348</v>
      </c>
      <c r="AH2" s="32"/>
      <c r="AI2" s="8"/>
      <c r="AJ2" s="23"/>
      <c r="AK2" s="43"/>
      <c r="AL2" s="17"/>
      <c r="AM2" s="25"/>
      <c r="AN2" s="44"/>
      <c r="AO2" s="12"/>
      <c r="AP2" s="8"/>
      <c r="AQ2" s="45"/>
      <c r="AR2" s="8"/>
      <c r="AS2" s="26"/>
      <c r="AT2" s="46">
        <f>AE3*2880</f>
        <v>2050560</v>
      </c>
      <c r="AU2" s="47"/>
      <c r="AV2" s="47">
        <f t="shared" ref="AV2:AV3" si="3">AE2*2480</f>
        <v>18203.71134</v>
      </c>
      <c r="AW2" s="32"/>
      <c r="AX2" s="32"/>
      <c r="AY2" s="8"/>
      <c r="AZ2" s="19"/>
      <c r="BA2" s="48"/>
      <c r="BB2" s="44"/>
      <c r="BC2" s="44"/>
      <c r="BD2" s="44"/>
      <c r="BE2" s="44"/>
      <c r="BF2" s="44"/>
      <c r="BG2" s="44"/>
      <c r="BH2" s="44"/>
      <c r="BI2" s="44"/>
      <c r="BJ2" s="48"/>
      <c r="BK2" s="49"/>
      <c r="BL2" s="50"/>
      <c r="BM2" s="50"/>
      <c r="BN2" s="31"/>
      <c r="BO2" s="32"/>
      <c r="BP2" s="32"/>
      <c r="BQ2" s="32"/>
      <c r="BR2" s="32"/>
      <c r="BS2" s="32"/>
      <c r="BT2" s="32"/>
    </row>
    <row r="3">
      <c r="A3" s="51" t="s">
        <v>15</v>
      </c>
      <c r="B3" s="52">
        <f>SUBTOTAL(3,B5:B109)</f>
        <v>97</v>
      </c>
      <c r="C3" s="53"/>
      <c r="D3" s="53"/>
      <c r="E3" s="17">
        <v>23.0</v>
      </c>
      <c r="F3" s="54"/>
      <c r="G3" s="54"/>
      <c r="H3" s="7"/>
      <c r="I3" s="40"/>
      <c r="J3" s="10"/>
      <c r="K3" s="10"/>
      <c r="L3" s="41" t="s">
        <v>16</v>
      </c>
      <c r="M3" s="11" t="s">
        <v>17</v>
      </c>
      <c r="N3" s="12"/>
      <c r="O3" s="9"/>
      <c r="P3" s="12"/>
      <c r="Q3" s="14" t="s">
        <v>18</v>
      </c>
      <c r="R3" s="12"/>
      <c r="S3" s="12"/>
      <c r="T3" s="15"/>
      <c r="U3" s="12"/>
      <c r="V3" s="12"/>
      <c r="W3" s="15"/>
      <c r="X3" s="8"/>
      <c r="Y3" s="12"/>
      <c r="Z3" s="8"/>
      <c r="AA3" s="18"/>
      <c r="AB3" s="55" t="s">
        <v>19</v>
      </c>
      <c r="AC3" s="52">
        <f t="shared" ref="AC3:AH3" si="1">SUBTOTAL(9,AC5:AC109)</f>
        <v>131</v>
      </c>
      <c r="AD3" s="52">
        <f t="shared" si="1"/>
        <v>10</v>
      </c>
      <c r="AE3" s="52">
        <f t="shared" si="1"/>
        <v>712</v>
      </c>
      <c r="AF3" s="52">
        <f t="shared" si="1"/>
        <v>490</v>
      </c>
      <c r="AG3" s="52">
        <f t="shared" si="1"/>
        <v>421</v>
      </c>
      <c r="AH3" s="52">
        <f t="shared" si="1"/>
        <v>283</v>
      </c>
      <c r="AI3" s="8"/>
      <c r="AJ3" s="23"/>
      <c r="AK3" s="12"/>
      <c r="AL3" s="12"/>
      <c r="AM3" s="25"/>
      <c r="AN3" s="25"/>
      <c r="AO3" s="12"/>
      <c r="AP3" s="8"/>
      <c r="AQ3" s="56" t="s">
        <v>20</v>
      </c>
      <c r="AR3" s="8"/>
      <c r="AS3" s="57">
        <f t="shared" ref="AS3:AT3" si="2">SUBTOTAL(9,AS5:AS109)</f>
        <v>3826851.72</v>
      </c>
      <c r="AT3" s="57">
        <f t="shared" si="2"/>
        <v>0</v>
      </c>
      <c r="AU3" s="58"/>
      <c r="AV3" s="59">
        <f t="shared" si="3"/>
        <v>1765760</v>
      </c>
      <c r="AW3" s="60">
        <f t="shared" ref="AW3:AX3" si="4">SUBTOTAL(9,AW5:AW109)</f>
        <v>4.923</v>
      </c>
      <c r="AX3" s="60">
        <f t="shared" si="4"/>
        <v>1.228</v>
      </c>
      <c r="AY3" s="19"/>
      <c r="AZ3" s="19"/>
      <c r="BA3" s="19"/>
      <c r="BB3" s="44"/>
      <c r="BC3" s="44"/>
      <c r="BD3" s="44"/>
      <c r="BE3" s="44"/>
      <c r="BF3" s="44"/>
      <c r="BG3" s="44"/>
      <c r="BH3" s="44"/>
      <c r="BI3" s="44"/>
      <c r="BJ3" s="48"/>
      <c r="BK3" s="29"/>
      <c r="BL3" s="30"/>
      <c r="BM3" s="30"/>
      <c r="BN3" s="31"/>
      <c r="BO3" s="32"/>
      <c r="BP3" s="32"/>
      <c r="BQ3" s="61"/>
      <c r="BR3" s="32"/>
      <c r="BS3" s="32"/>
      <c r="BT3" s="32"/>
    </row>
    <row r="4">
      <c r="A4" s="62" t="s">
        <v>21</v>
      </c>
      <c r="B4" s="62" t="s">
        <v>22</v>
      </c>
      <c r="C4" s="64" t="s">
        <v>23</v>
      </c>
      <c r="D4" s="64" t="s">
        <v>24</v>
      </c>
      <c r="E4" s="62" t="s">
        <v>25</v>
      </c>
      <c r="F4" s="62" t="s">
        <v>26</v>
      </c>
      <c r="G4" s="65" t="s">
        <v>27</v>
      </c>
      <c r="H4" s="62" t="s">
        <v>28</v>
      </c>
      <c r="I4" s="62" t="s">
        <v>29</v>
      </c>
      <c r="J4" s="66" t="s">
        <v>30</v>
      </c>
      <c r="K4" s="66" t="s">
        <v>406</v>
      </c>
      <c r="L4" s="62" t="s">
        <v>32</v>
      </c>
      <c r="M4" s="62" t="s">
        <v>33</v>
      </c>
      <c r="N4" s="67" t="s">
        <v>34</v>
      </c>
      <c r="O4" s="67" t="s">
        <v>35</v>
      </c>
      <c r="P4" s="68" t="s">
        <v>36</v>
      </c>
      <c r="Q4" s="68" t="s">
        <v>37</v>
      </c>
      <c r="R4" s="69" t="s">
        <v>38</v>
      </c>
      <c r="S4" s="70" t="s">
        <v>39</v>
      </c>
      <c r="T4" s="70" t="s">
        <v>40</v>
      </c>
      <c r="U4" s="70" t="s">
        <v>41</v>
      </c>
      <c r="V4" s="71" t="s">
        <v>42</v>
      </c>
      <c r="W4" s="72" t="s">
        <v>40</v>
      </c>
      <c r="X4" s="73" t="s">
        <v>407</v>
      </c>
      <c r="Y4" s="74" t="s">
        <v>44</v>
      </c>
      <c r="Z4" s="70" t="s">
        <v>45</v>
      </c>
      <c r="AA4" s="70" t="s">
        <v>46</v>
      </c>
      <c r="AB4" s="70" t="s">
        <v>47</v>
      </c>
      <c r="AC4" s="62" t="s">
        <v>48</v>
      </c>
      <c r="AD4" s="75" t="s">
        <v>49</v>
      </c>
      <c r="AE4" s="76" t="s">
        <v>50</v>
      </c>
      <c r="AF4" s="62" t="s">
        <v>51</v>
      </c>
      <c r="AG4" s="76" t="s">
        <v>52</v>
      </c>
      <c r="AH4" s="76" t="s">
        <v>53</v>
      </c>
      <c r="AI4" s="62" t="s">
        <v>54</v>
      </c>
      <c r="AJ4" s="62" t="s">
        <v>55</v>
      </c>
      <c r="AK4" s="77" t="s">
        <v>56</v>
      </c>
      <c r="AL4" s="77" t="s">
        <v>57</v>
      </c>
      <c r="AM4" s="78" t="s">
        <v>58</v>
      </c>
      <c r="AN4" s="79" t="s">
        <v>59</v>
      </c>
      <c r="AO4" s="80" t="s">
        <v>60</v>
      </c>
      <c r="AP4" s="81" t="s">
        <v>61</v>
      </c>
      <c r="AQ4" s="81" t="s">
        <v>62</v>
      </c>
      <c r="AR4" s="81" t="s">
        <v>63</v>
      </c>
      <c r="AS4" s="82" t="s">
        <v>64</v>
      </c>
      <c r="AT4" s="82" t="s">
        <v>65</v>
      </c>
      <c r="AU4" s="75" t="s">
        <v>66</v>
      </c>
      <c r="AV4" s="62" t="s">
        <v>67</v>
      </c>
      <c r="AW4" s="62" t="s">
        <v>68</v>
      </c>
      <c r="AX4" s="62" t="s">
        <v>69</v>
      </c>
      <c r="AY4" s="62" t="s">
        <v>70</v>
      </c>
      <c r="AZ4" s="62" t="s">
        <v>71</v>
      </c>
      <c r="BA4" s="62" t="s">
        <v>72</v>
      </c>
      <c r="BB4" s="62" t="s">
        <v>408</v>
      </c>
      <c r="BC4" s="62" t="s">
        <v>74</v>
      </c>
      <c r="BD4" s="62" t="s">
        <v>75</v>
      </c>
      <c r="BE4" s="62" t="s">
        <v>76</v>
      </c>
      <c r="BF4" s="62" t="s">
        <v>77</v>
      </c>
      <c r="BG4" s="62" t="s">
        <v>78</v>
      </c>
      <c r="BH4" s="62" t="s">
        <v>79</v>
      </c>
      <c r="BI4" s="62" t="s">
        <v>80</v>
      </c>
      <c r="BJ4" s="83" t="s">
        <v>81</v>
      </c>
      <c r="BK4" s="84" t="s">
        <v>82</v>
      </c>
      <c r="BL4" s="85" t="s">
        <v>83</v>
      </c>
      <c r="BM4" s="85" t="s">
        <v>84</v>
      </c>
      <c r="BN4" s="85" t="s">
        <v>85</v>
      </c>
      <c r="BO4" s="86" t="s">
        <v>86</v>
      </c>
      <c r="BP4" s="86" t="s">
        <v>86</v>
      </c>
      <c r="BQ4" s="86" t="s">
        <v>86</v>
      </c>
      <c r="BR4" s="87" t="s">
        <v>87</v>
      </c>
      <c r="BS4" s="88"/>
      <c r="BT4" s="88"/>
    </row>
    <row r="5">
      <c r="A5" s="140">
        <v>9.100059054E9</v>
      </c>
      <c r="B5" s="141" t="s">
        <v>409</v>
      </c>
      <c r="C5" s="91" t="s">
        <v>93</v>
      </c>
      <c r="D5" s="91" t="s">
        <v>93</v>
      </c>
      <c r="E5" s="172" t="s">
        <v>410</v>
      </c>
      <c r="F5" s="144" t="s">
        <v>90</v>
      </c>
      <c r="G5" s="145" t="s">
        <v>162</v>
      </c>
      <c r="H5" s="146" t="s">
        <v>411</v>
      </c>
      <c r="I5" s="147" t="s">
        <v>412</v>
      </c>
      <c r="J5" s="148" t="str">
        <f>VLOOKUP(I5,DADOS!B:F,5,0)</f>
        <v>ETEMILSON OLIVEIRA SANTOS - NTS149530</v>
      </c>
      <c r="K5" s="149" t="s">
        <v>413</v>
      </c>
      <c r="L5" s="190" t="s">
        <v>4</v>
      </c>
      <c r="M5" s="141" t="s">
        <v>105</v>
      </c>
      <c r="N5" s="150"/>
      <c r="O5" s="151"/>
      <c r="P5" s="152"/>
      <c r="Q5" s="150"/>
      <c r="R5" s="150"/>
      <c r="S5" s="153"/>
      <c r="T5" s="154"/>
      <c r="U5" s="153"/>
      <c r="V5" s="155"/>
      <c r="W5" s="156"/>
      <c r="X5" s="153"/>
      <c r="Y5" s="157"/>
      <c r="Z5" s="158"/>
      <c r="AA5" s="159"/>
      <c r="AB5" s="160"/>
      <c r="AC5" s="141">
        <v>1.0</v>
      </c>
      <c r="AD5" s="141">
        <v>0.0</v>
      </c>
      <c r="AE5" s="141">
        <v>14.0</v>
      </c>
      <c r="AF5" s="161"/>
      <c r="AG5" s="161"/>
      <c r="AH5" s="162">
        <f t="shared" ref="AH5:AH27" si="5">AE5-AG5</f>
        <v>14</v>
      </c>
      <c r="AI5" s="163">
        <f t="shared" ref="AI5:AI27" si="6">IF(OR(AE5=0, ISERR(AG5/AE5)), 0, AG5/AE5)</f>
        <v>0</v>
      </c>
      <c r="AJ5" s="189"/>
      <c r="AK5" s="150"/>
      <c r="AL5" s="150"/>
      <c r="AM5" s="164"/>
      <c r="AN5" s="165"/>
      <c r="AO5" s="141"/>
      <c r="AP5" s="166"/>
      <c r="AQ5" s="167"/>
      <c r="AR5" s="166"/>
      <c r="AS5" s="171">
        <v>36997.48</v>
      </c>
      <c r="AT5" s="168"/>
      <c r="AU5" s="169">
        <f>VLOOKUP(I5,DADOS!B:C,2,0)</f>
        <v>2332</v>
      </c>
      <c r="AV5" s="170">
        <f t="shared" ref="AV5:AV27" si="7">AE5*2480</f>
        <v>34720</v>
      </c>
      <c r="AW5" s="171"/>
      <c r="AX5" s="171"/>
      <c r="AY5" s="172"/>
      <c r="AZ5" s="173"/>
      <c r="BA5" s="174"/>
      <c r="BB5" s="175"/>
      <c r="BC5" s="176"/>
      <c r="BD5" s="176"/>
      <c r="BE5" s="176"/>
      <c r="BF5" s="176"/>
      <c r="BG5" s="177">
        <f t="shared" ref="BG5:BG27" si="8">BD5*BF5</f>
        <v>0</v>
      </c>
      <c r="BH5" s="176"/>
      <c r="BI5" s="176"/>
      <c r="BJ5" s="178"/>
      <c r="BK5" s="179" t="s">
        <v>102</v>
      </c>
      <c r="BL5" s="180"/>
      <c r="BM5" s="180"/>
      <c r="BN5" s="181"/>
      <c r="BO5" s="130"/>
      <c r="BP5" s="131"/>
      <c r="BQ5" s="131"/>
      <c r="BR5" s="131"/>
      <c r="BS5" s="131"/>
      <c r="BT5" s="131"/>
    </row>
    <row r="6">
      <c r="A6" s="89">
        <v>9.10237203E9</v>
      </c>
      <c r="B6" s="99" t="s">
        <v>414</v>
      </c>
      <c r="C6" s="91" t="s">
        <v>93</v>
      </c>
      <c r="D6" s="91" t="s">
        <v>93</v>
      </c>
      <c r="E6" s="92" t="s">
        <v>415</v>
      </c>
      <c r="F6" s="93" t="s">
        <v>90</v>
      </c>
      <c r="G6" s="94" t="s">
        <v>416</v>
      </c>
      <c r="H6" s="95"/>
      <c r="I6" s="96" t="s">
        <v>417</v>
      </c>
      <c r="J6" s="97" t="str">
        <f>VLOOKUP(I6,DADOS!B:F,5,0)</f>
        <v>GILVANDO RIOS DA CRUZ - NTS025538</v>
      </c>
      <c r="K6" s="98" t="s">
        <v>413</v>
      </c>
      <c r="L6" s="132" t="s">
        <v>4</v>
      </c>
      <c r="M6" s="99" t="s">
        <v>184</v>
      </c>
      <c r="N6" s="100">
        <v>46045.0</v>
      </c>
      <c r="O6" s="101" t="s">
        <v>418</v>
      </c>
      <c r="P6" s="252">
        <v>46045.0</v>
      </c>
      <c r="Q6" s="253">
        <v>46048.0</v>
      </c>
      <c r="R6" s="100">
        <v>46051.0</v>
      </c>
      <c r="S6" s="254" t="s">
        <v>419</v>
      </c>
      <c r="T6" s="134">
        <v>46082.0</v>
      </c>
      <c r="U6" s="104" t="s">
        <v>93</v>
      </c>
      <c r="V6" s="255" t="s">
        <v>420</v>
      </c>
      <c r="W6" s="134">
        <v>46082.0</v>
      </c>
      <c r="X6" s="104" t="s">
        <v>93</v>
      </c>
      <c r="Y6" s="107"/>
      <c r="Z6" s="108"/>
      <c r="AA6" s="136" t="s">
        <v>421</v>
      </c>
      <c r="AB6" s="135" t="s">
        <v>422</v>
      </c>
      <c r="AC6" s="99">
        <v>1.0</v>
      </c>
      <c r="AD6" s="99">
        <v>0.0</v>
      </c>
      <c r="AE6" s="99">
        <f>10+1</f>
        <v>11</v>
      </c>
      <c r="AF6" s="256">
        <f>2+9</f>
        <v>11</v>
      </c>
      <c r="AG6" s="256">
        <f>4+5+1</f>
        <v>10</v>
      </c>
      <c r="AH6" s="112">
        <f t="shared" si="5"/>
        <v>1</v>
      </c>
      <c r="AI6" s="113">
        <f t="shared" si="6"/>
        <v>0.9090909091</v>
      </c>
      <c r="AJ6" s="114">
        <v>1.0</v>
      </c>
      <c r="AK6" s="100">
        <v>46058.0</v>
      </c>
      <c r="AL6" s="100">
        <v>46066.0</v>
      </c>
      <c r="AM6" s="115"/>
      <c r="AN6" s="116"/>
      <c r="AO6" s="99"/>
      <c r="AP6" s="117" t="s">
        <v>423</v>
      </c>
      <c r="AQ6" s="118" t="s">
        <v>424</v>
      </c>
      <c r="AR6" s="117" t="s">
        <v>425</v>
      </c>
      <c r="AS6" s="119">
        <v>78172.08</v>
      </c>
      <c r="AT6" s="119"/>
      <c r="AU6" s="120">
        <f>VLOOKUP(I6,DADOS!B:C,2,0)</f>
        <v>2304</v>
      </c>
      <c r="AV6" s="121">
        <f t="shared" si="7"/>
        <v>27280</v>
      </c>
      <c r="AW6" s="122"/>
      <c r="AX6" s="122"/>
      <c r="AY6" s="92"/>
      <c r="AZ6" s="123"/>
      <c r="BA6" s="124" t="s">
        <v>426</v>
      </c>
      <c r="BB6" s="125" t="s">
        <v>427</v>
      </c>
      <c r="BC6" s="126"/>
      <c r="BD6" s="126"/>
      <c r="BE6" s="126"/>
      <c r="BF6" s="126"/>
      <c r="BG6" s="126">
        <f t="shared" si="8"/>
        <v>0</v>
      </c>
      <c r="BH6" s="126"/>
      <c r="BI6" s="126" t="s">
        <v>423</v>
      </c>
      <c r="BJ6" s="128" t="s">
        <v>428</v>
      </c>
      <c r="BK6" s="105" t="s">
        <v>429</v>
      </c>
      <c r="BL6" s="129"/>
      <c r="BM6" s="129"/>
      <c r="BN6" s="36"/>
      <c r="BO6" s="130"/>
      <c r="BP6" s="32"/>
      <c r="BQ6" s="32"/>
      <c r="BR6" s="131"/>
      <c r="BS6" s="32"/>
      <c r="BT6" s="32"/>
    </row>
    <row r="7">
      <c r="A7" s="89">
        <v>9.102126615E9</v>
      </c>
      <c r="B7" s="99" t="s">
        <v>122</v>
      </c>
      <c r="C7" s="91" t="s">
        <v>93</v>
      </c>
      <c r="D7" s="91" t="s">
        <v>93</v>
      </c>
      <c r="E7" s="92" t="s">
        <v>123</v>
      </c>
      <c r="F7" s="93" t="s">
        <v>90</v>
      </c>
      <c r="G7" s="94" t="s">
        <v>416</v>
      </c>
      <c r="H7" s="95"/>
      <c r="I7" s="96" t="s">
        <v>417</v>
      </c>
      <c r="J7" s="97" t="str">
        <f>VLOOKUP(I7,DADOS!B:F,5,0)</f>
        <v>GILVANDO RIOS DA CRUZ - NTS025538</v>
      </c>
      <c r="K7" s="98" t="s">
        <v>413</v>
      </c>
      <c r="L7" s="132" t="s">
        <v>4</v>
      </c>
      <c r="M7" s="99" t="s">
        <v>91</v>
      </c>
      <c r="N7" s="100">
        <v>46045.0</v>
      </c>
      <c r="O7" s="101" t="s">
        <v>418</v>
      </c>
      <c r="P7" s="252">
        <v>46045.0</v>
      </c>
      <c r="Q7" s="253">
        <v>46048.0</v>
      </c>
      <c r="R7" s="100">
        <v>46051.0</v>
      </c>
      <c r="S7" s="254" t="s">
        <v>430</v>
      </c>
      <c r="T7" s="134">
        <v>46082.0</v>
      </c>
      <c r="U7" s="104" t="s">
        <v>93</v>
      </c>
      <c r="V7" s="255" t="s">
        <v>431</v>
      </c>
      <c r="W7" s="134">
        <v>46082.0</v>
      </c>
      <c r="X7" s="104" t="s">
        <v>93</v>
      </c>
      <c r="Y7" s="107"/>
      <c r="Z7" s="108"/>
      <c r="AA7" s="136" t="s">
        <v>432</v>
      </c>
      <c r="AB7" s="110" t="s">
        <v>433</v>
      </c>
      <c r="AC7" s="99">
        <v>1.0</v>
      </c>
      <c r="AD7" s="99">
        <v>0.0</v>
      </c>
      <c r="AE7" s="99">
        <v>12.0</v>
      </c>
      <c r="AF7" s="256">
        <v>7.0</v>
      </c>
      <c r="AG7" s="256">
        <v>3.0</v>
      </c>
      <c r="AH7" s="112">
        <f t="shared" si="5"/>
        <v>9</v>
      </c>
      <c r="AI7" s="113">
        <f t="shared" si="6"/>
        <v>0.25</v>
      </c>
      <c r="AJ7" s="114">
        <v>1.0</v>
      </c>
      <c r="AK7" s="100">
        <v>46062.0</v>
      </c>
      <c r="AL7" s="100">
        <v>46069.0</v>
      </c>
      <c r="AM7" s="115"/>
      <c r="AN7" s="116"/>
      <c r="AO7" s="99"/>
      <c r="AP7" s="117" t="s">
        <v>434</v>
      </c>
      <c r="AQ7" s="118" t="s">
        <v>435</v>
      </c>
      <c r="AR7" s="117" t="s">
        <v>436</v>
      </c>
      <c r="AS7" s="119">
        <v>111479.61</v>
      </c>
      <c r="AT7" s="119"/>
      <c r="AU7" s="120">
        <f>VLOOKUP(I7,DADOS!B:C,2,0)</f>
        <v>2304</v>
      </c>
      <c r="AV7" s="121">
        <f t="shared" si="7"/>
        <v>29760</v>
      </c>
      <c r="AW7" s="122"/>
      <c r="AX7" s="122"/>
      <c r="AY7" s="92"/>
      <c r="AZ7" s="123"/>
      <c r="BA7" s="124" t="s">
        <v>437</v>
      </c>
      <c r="BB7" s="125" t="s">
        <v>438</v>
      </c>
      <c r="BC7" s="126"/>
      <c r="BD7" s="126"/>
      <c r="BE7" s="126"/>
      <c r="BF7" s="126"/>
      <c r="BG7" s="126">
        <f t="shared" si="8"/>
        <v>0</v>
      </c>
      <c r="BH7" s="126"/>
      <c r="BI7" s="126" t="s">
        <v>434</v>
      </c>
      <c r="BJ7" s="128" t="s">
        <v>439</v>
      </c>
      <c r="BK7" s="105" t="s">
        <v>429</v>
      </c>
      <c r="BL7" s="129"/>
      <c r="BM7" s="129"/>
      <c r="BN7" s="36"/>
      <c r="BO7" s="130"/>
      <c r="BP7" s="32"/>
      <c r="BQ7" s="32"/>
      <c r="BR7" s="131"/>
      <c r="BS7" s="32"/>
      <c r="BT7" s="32"/>
    </row>
    <row r="8">
      <c r="A8" s="89">
        <v>9.102359037E9</v>
      </c>
      <c r="B8" s="99" t="s">
        <v>440</v>
      </c>
      <c r="C8" s="142" t="s">
        <v>441</v>
      </c>
      <c r="D8" s="142" t="s">
        <v>442</v>
      </c>
      <c r="E8" s="92" t="s">
        <v>443</v>
      </c>
      <c r="F8" s="93" t="s">
        <v>90</v>
      </c>
      <c r="G8" s="94" t="s">
        <v>416</v>
      </c>
      <c r="H8" s="95"/>
      <c r="I8" s="96" t="s">
        <v>417</v>
      </c>
      <c r="J8" s="97" t="str">
        <f>VLOOKUP(I8,DADOS!B:F,5,0)</f>
        <v>GILVANDO RIOS DA CRUZ - NTS025538</v>
      </c>
      <c r="K8" s="98" t="s">
        <v>413</v>
      </c>
      <c r="L8" s="99" t="s">
        <v>444</v>
      </c>
      <c r="M8" s="99" t="s">
        <v>105</v>
      </c>
      <c r="N8" s="100">
        <v>46045.0</v>
      </c>
      <c r="O8" s="101" t="s">
        <v>418</v>
      </c>
      <c r="P8" s="252">
        <v>46048.0</v>
      </c>
      <c r="Q8" s="257">
        <v>46049.0</v>
      </c>
      <c r="R8" s="100">
        <v>46058.0</v>
      </c>
      <c r="S8" s="254" t="s">
        <v>445</v>
      </c>
      <c r="T8" s="134">
        <v>46082.0</v>
      </c>
      <c r="U8" s="104" t="s">
        <v>93</v>
      </c>
      <c r="V8" s="255" t="s">
        <v>446</v>
      </c>
      <c r="W8" s="134">
        <v>46082.0</v>
      </c>
      <c r="X8" s="254" t="s">
        <v>447</v>
      </c>
      <c r="Y8" s="107">
        <v>46077.0</v>
      </c>
      <c r="Z8" s="108" t="s">
        <v>448</v>
      </c>
      <c r="AA8" s="136" t="s">
        <v>449</v>
      </c>
      <c r="AB8" s="110" t="s">
        <v>450</v>
      </c>
      <c r="AC8" s="99">
        <v>1.0</v>
      </c>
      <c r="AD8" s="99">
        <v>0.0</v>
      </c>
      <c r="AE8" s="258">
        <v>7.0</v>
      </c>
      <c r="AF8" s="256">
        <v>1.0</v>
      </c>
      <c r="AG8" s="111"/>
      <c r="AH8" s="112">
        <f t="shared" si="5"/>
        <v>7</v>
      </c>
      <c r="AI8" s="113">
        <f t="shared" si="6"/>
        <v>0</v>
      </c>
      <c r="AJ8" s="114">
        <v>1.0</v>
      </c>
      <c r="AK8" s="100">
        <v>46071.0</v>
      </c>
      <c r="AL8" s="100">
        <v>46073.0</v>
      </c>
      <c r="AM8" s="115"/>
      <c r="AN8" s="116"/>
      <c r="AO8" s="99"/>
      <c r="AP8" s="117" t="s">
        <v>451</v>
      </c>
      <c r="AQ8" s="118" t="s">
        <v>452</v>
      </c>
      <c r="AR8" s="117" t="s">
        <v>453</v>
      </c>
      <c r="AS8" s="119">
        <v>72581.09</v>
      </c>
      <c r="AT8" s="119"/>
      <c r="AU8" s="120">
        <f>VLOOKUP(I8,DADOS!B:C,2,0)</f>
        <v>2304</v>
      </c>
      <c r="AV8" s="121">
        <f t="shared" si="7"/>
        <v>17360</v>
      </c>
      <c r="AW8" s="122"/>
      <c r="AX8" s="122"/>
      <c r="AY8" s="92"/>
      <c r="AZ8" s="123"/>
      <c r="BA8" s="124" t="s">
        <v>99</v>
      </c>
      <c r="BB8" s="125" t="s">
        <v>454</v>
      </c>
      <c r="BC8" s="126"/>
      <c r="BD8" s="126"/>
      <c r="BE8" s="126"/>
      <c r="BF8" s="126"/>
      <c r="BG8" s="126">
        <f t="shared" si="8"/>
        <v>0</v>
      </c>
      <c r="BH8" s="126"/>
      <c r="BI8" s="126" t="s">
        <v>451</v>
      </c>
      <c r="BJ8" s="128" t="s">
        <v>455</v>
      </c>
      <c r="BK8" s="105" t="s">
        <v>429</v>
      </c>
      <c r="BL8" s="129"/>
      <c r="BM8" s="129"/>
      <c r="BN8" s="36"/>
      <c r="BO8" s="130"/>
      <c r="BP8" s="32"/>
      <c r="BQ8" s="32"/>
      <c r="BR8" s="131"/>
      <c r="BS8" s="32"/>
      <c r="BT8" s="32"/>
    </row>
    <row r="9">
      <c r="A9" s="89">
        <v>9.102362042E9</v>
      </c>
      <c r="B9" s="99" t="s">
        <v>456</v>
      </c>
      <c r="C9" s="91" t="s">
        <v>93</v>
      </c>
      <c r="D9" s="91" t="s">
        <v>93</v>
      </c>
      <c r="E9" s="92" t="s">
        <v>457</v>
      </c>
      <c r="F9" s="93" t="s">
        <v>90</v>
      </c>
      <c r="G9" s="94" t="s">
        <v>458</v>
      </c>
      <c r="H9" s="95"/>
      <c r="I9" s="96" t="s">
        <v>459</v>
      </c>
      <c r="J9" s="97" t="str">
        <f>VLOOKUP(I9,DADOS!B:F,5,0)</f>
        <v>GILVANDO RIOS DA CRUZ - NTS025538</v>
      </c>
      <c r="K9" s="98" t="s">
        <v>413</v>
      </c>
      <c r="L9" s="132" t="s">
        <v>4</v>
      </c>
      <c r="M9" s="99" t="s">
        <v>105</v>
      </c>
      <c r="N9" s="100">
        <v>46045.0</v>
      </c>
      <c r="O9" s="101" t="s">
        <v>418</v>
      </c>
      <c r="P9" s="252">
        <v>46048.0</v>
      </c>
      <c r="Q9" s="257">
        <v>46049.0</v>
      </c>
      <c r="R9" s="100">
        <v>46058.0</v>
      </c>
      <c r="S9" s="254" t="s">
        <v>460</v>
      </c>
      <c r="T9" s="134">
        <v>46082.0</v>
      </c>
      <c r="U9" s="259" t="s">
        <v>461</v>
      </c>
      <c r="V9" s="255" t="s">
        <v>462</v>
      </c>
      <c r="W9" s="134">
        <v>46082.0</v>
      </c>
      <c r="X9" s="260" t="s">
        <v>93</v>
      </c>
      <c r="Y9" s="107"/>
      <c r="Z9" s="108"/>
      <c r="AA9" s="136" t="s">
        <v>463</v>
      </c>
      <c r="AB9" s="110" t="s">
        <v>464</v>
      </c>
      <c r="AC9" s="99">
        <v>1.0</v>
      </c>
      <c r="AD9" s="99">
        <v>0.0</v>
      </c>
      <c r="AE9" s="99">
        <v>12.0</v>
      </c>
      <c r="AF9" s="111"/>
      <c r="AG9" s="111"/>
      <c r="AH9" s="112">
        <f t="shared" si="5"/>
        <v>12</v>
      </c>
      <c r="AI9" s="113">
        <f t="shared" si="6"/>
        <v>0</v>
      </c>
      <c r="AJ9" s="114">
        <v>1.0</v>
      </c>
      <c r="AK9" s="100">
        <v>46076.0</v>
      </c>
      <c r="AL9" s="100">
        <v>46079.0</v>
      </c>
      <c r="AM9" s="115"/>
      <c r="AN9" s="116"/>
      <c r="AO9" s="99"/>
      <c r="AP9" s="117" t="s">
        <v>465</v>
      </c>
      <c r="AQ9" s="118" t="s">
        <v>466</v>
      </c>
      <c r="AR9" s="117" t="s">
        <v>467</v>
      </c>
      <c r="AS9" s="119">
        <v>114878.17</v>
      </c>
      <c r="AT9" s="119"/>
      <c r="AU9" s="120">
        <f>VLOOKUP(I9,DADOS!B:C,2,0)</f>
        <v>2326</v>
      </c>
      <c r="AV9" s="121">
        <f t="shared" si="7"/>
        <v>29760</v>
      </c>
      <c r="AW9" s="122"/>
      <c r="AX9" s="122"/>
      <c r="AY9" s="92"/>
      <c r="AZ9" s="123"/>
      <c r="BA9" s="124" t="s">
        <v>99</v>
      </c>
      <c r="BB9" s="125" t="s">
        <v>468</v>
      </c>
      <c r="BC9" s="126"/>
      <c r="BD9" s="126"/>
      <c r="BE9" s="126"/>
      <c r="BF9" s="126"/>
      <c r="BG9" s="126">
        <f t="shared" si="8"/>
        <v>0</v>
      </c>
      <c r="BH9" s="126"/>
      <c r="BI9" s="126" t="s">
        <v>465</v>
      </c>
      <c r="BJ9" s="128" t="s">
        <v>469</v>
      </c>
      <c r="BK9" s="105" t="s">
        <v>429</v>
      </c>
      <c r="BL9" s="129"/>
      <c r="BM9" s="129"/>
      <c r="BN9" s="36"/>
      <c r="BO9" s="130"/>
      <c r="BP9" s="32"/>
      <c r="BQ9" s="32"/>
      <c r="BR9" s="131"/>
      <c r="BS9" s="32"/>
      <c r="BT9" s="32"/>
    </row>
    <row r="10">
      <c r="A10" s="89">
        <v>9.102363788E9</v>
      </c>
      <c r="B10" s="99" t="s">
        <v>470</v>
      </c>
      <c r="C10" s="91" t="s">
        <v>93</v>
      </c>
      <c r="D10" s="91" t="s">
        <v>93</v>
      </c>
      <c r="E10" s="92" t="s">
        <v>471</v>
      </c>
      <c r="F10" s="93" t="s">
        <v>90</v>
      </c>
      <c r="G10" s="94" t="s">
        <v>458</v>
      </c>
      <c r="H10" s="95"/>
      <c r="I10" s="96" t="s">
        <v>417</v>
      </c>
      <c r="J10" s="97" t="str">
        <f>VLOOKUP(I10,DADOS!B:F,5,0)</f>
        <v>GILVANDO RIOS DA CRUZ - NTS025538</v>
      </c>
      <c r="K10" s="98" t="s">
        <v>413</v>
      </c>
      <c r="L10" s="132" t="s">
        <v>4</v>
      </c>
      <c r="M10" s="99" t="s">
        <v>105</v>
      </c>
      <c r="N10" s="100">
        <v>46045.0</v>
      </c>
      <c r="O10" s="101" t="s">
        <v>418</v>
      </c>
      <c r="P10" s="252">
        <v>46042.0</v>
      </c>
      <c r="Q10" s="257">
        <v>46042.0</v>
      </c>
      <c r="R10" s="100">
        <v>46051.0</v>
      </c>
      <c r="S10" s="254" t="s">
        <v>472</v>
      </c>
      <c r="T10" s="134">
        <v>46082.0</v>
      </c>
      <c r="U10" s="104" t="s">
        <v>93</v>
      </c>
      <c r="V10" s="255" t="s">
        <v>473</v>
      </c>
      <c r="W10" s="134">
        <v>46082.0</v>
      </c>
      <c r="X10" s="104" t="s">
        <v>93</v>
      </c>
      <c r="Y10" s="107"/>
      <c r="Z10" s="108"/>
      <c r="AA10" s="109"/>
      <c r="AB10" s="110" t="s">
        <v>474</v>
      </c>
      <c r="AC10" s="99">
        <v>1.0</v>
      </c>
      <c r="AD10" s="99">
        <v>0.0</v>
      </c>
      <c r="AE10" s="99">
        <v>1.0</v>
      </c>
      <c r="AF10" s="111"/>
      <c r="AG10" s="111"/>
      <c r="AH10" s="112">
        <f t="shared" si="5"/>
        <v>1</v>
      </c>
      <c r="AI10" s="113">
        <f t="shared" si="6"/>
        <v>0</v>
      </c>
      <c r="AJ10" s="114">
        <v>1.0</v>
      </c>
      <c r="AK10" s="100">
        <v>46067.0</v>
      </c>
      <c r="AL10" s="100">
        <v>46067.0</v>
      </c>
      <c r="AM10" s="115"/>
      <c r="AN10" s="116"/>
      <c r="AO10" s="99"/>
      <c r="AP10" s="117" t="s">
        <v>475</v>
      </c>
      <c r="AQ10" s="118" t="s">
        <v>476</v>
      </c>
      <c r="AR10" s="117" t="s">
        <v>477</v>
      </c>
      <c r="AS10" s="119">
        <v>11516.45</v>
      </c>
      <c r="AT10" s="119"/>
      <c r="AU10" s="120">
        <f>VLOOKUP(I10,DADOS!B:C,2,0)</f>
        <v>2304</v>
      </c>
      <c r="AV10" s="121">
        <f t="shared" si="7"/>
        <v>2480</v>
      </c>
      <c r="AW10" s="122">
        <v>0.063</v>
      </c>
      <c r="AX10" s="122"/>
      <c r="AY10" s="92"/>
      <c r="AZ10" s="123"/>
      <c r="BA10" s="124" t="s">
        <v>99</v>
      </c>
      <c r="BB10" s="125" t="s">
        <v>478</v>
      </c>
      <c r="BC10" s="126"/>
      <c r="BD10" s="126"/>
      <c r="BE10" s="126"/>
      <c r="BF10" s="126"/>
      <c r="BG10" s="126">
        <f t="shared" si="8"/>
        <v>0</v>
      </c>
      <c r="BH10" s="126"/>
      <c r="BI10" s="126" t="s">
        <v>475</v>
      </c>
      <c r="BJ10" s="128" t="s">
        <v>479</v>
      </c>
      <c r="BK10" s="105" t="s">
        <v>429</v>
      </c>
      <c r="BL10" s="129"/>
      <c r="BM10" s="129"/>
      <c r="BN10" s="36"/>
      <c r="BO10" s="130"/>
      <c r="BP10" s="32"/>
      <c r="BQ10" s="32"/>
      <c r="BR10" s="131"/>
      <c r="BS10" s="32"/>
      <c r="BT10" s="32"/>
    </row>
    <row r="11">
      <c r="A11" s="89">
        <v>9.102373521E9</v>
      </c>
      <c r="B11" s="99" t="s">
        <v>480</v>
      </c>
      <c r="C11" s="91" t="s">
        <v>93</v>
      </c>
      <c r="D11" s="91" t="s">
        <v>93</v>
      </c>
      <c r="E11" s="92" t="s">
        <v>481</v>
      </c>
      <c r="F11" s="93" t="s">
        <v>90</v>
      </c>
      <c r="G11" s="94" t="s">
        <v>458</v>
      </c>
      <c r="H11" s="95"/>
      <c r="I11" s="96" t="s">
        <v>417</v>
      </c>
      <c r="J11" s="97" t="str">
        <f>VLOOKUP(I11,DADOS!B:F,5,0)</f>
        <v>GILVANDO RIOS DA CRUZ - NTS025538</v>
      </c>
      <c r="K11" s="98" t="s">
        <v>413</v>
      </c>
      <c r="L11" s="132" t="s">
        <v>4</v>
      </c>
      <c r="M11" s="99" t="s">
        <v>105</v>
      </c>
      <c r="N11" s="100">
        <v>46045.0</v>
      </c>
      <c r="O11" s="101" t="s">
        <v>418</v>
      </c>
      <c r="P11" s="252">
        <v>46042.0</v>
      </c>
      <c r="Q11" s="257">
        <v>46042.0</v>
      </c>
      <c r="R11" s="100">
        <v>46051.0</v>
      </c>
      <c r="S11" s="254" t="s">
        <v>482</v>
      </c>
      <c r="T11" s="134">
        <v>46082.0</v>
      </c>
      <c r="U11" s="104" t="s">
        <v>93</v>
      </c>
      <c r="V11" s="255" t="s">
        <v>483</v>
      </c>
      <c r="W11" s="134">
        <v>46082.0</v>
      </c>
      <c r="X11" s="104" t="s">
        <v>93</v>
      </c>
      <c r="Y11" s="107"/>
      <c r="Z11" s="108"/>
      <c r="AA11" s="109"/>
      <c r="AB11" s="110" t="s">
        <v>484</v>
      </c>
      <c r="AC11" s="99">
        <v>1.0</v>
      </c>
      <c r="AD11" s="99">
        <v>0.0</v>
      </c>
      <c r="AE11" s="99">
        <v>1.0</v>
      </c>
      <c r="AF11" s="111"/>
      <c r="AG11" s="111"/>
      <c r="AH11" s="112">
        <f t="shared" si="5"/>
        <v>1</v>
      </c>
      <c r="AI11" s="113">
        <f t="shared" si="6"/>
        <v>0</v>
      </c>
      <c r="AJ11" s="114">
        <v>1.0</v>
      </c>
      <c r="AK11" s="100">
        <v>46067.0</v>
      </c>
      <c r="AL11" s="100">
        <v>46067.0</v>
      </c>
      <c r="AM11" s="115"/>
      <c r="AN11" s="116"/>
      <c r="AO11" s="99"/>
      <c r="AP11" s="117" t="s">
        <v>485</v>
      </c>
      <c r="AQ11" s="118" t="s">
        <v>486</v>
      </c>
      <c r="AR11" s="117" t="s">
        <v>487</v>
      </c>
      <c r="AS11" s="119">
        <v>16346.65</v>
      </c>
      <c r="AT11" s="119"/>
      <c r="AU11" s="120">
        <f>VLOOKUP(I11,DADOS!B:C,2,0)</f>
        <v>2304</v>
      </c>
      <c r="AV11" s="121">
        <f t="shared" si="7"/>
        <v>2480</v>
      </c>
      <c r="AW11" s="122">
        <v>0.063</v>
      </c>
      <c r="AX11" s="122"/>
      <c r="AY11" s="92"/>
      <c r="AZ11" s="123"/>
      <c r="BA11" s="124" t="s">
        <v>99</v>
      </c>
      <c r="BB11" s="125" t="s">
        <v>488</v>
      </c>
      <c r="BC11" s="126"/>
      <c r="BD11" s="126"/>
      <c r="BE11" s="126"/>
      <c r="BF11" s="126"/>
      <c r="BG11" s="126">
        <f t="shared" si="8"/>
        <v>0</v>
      </c>
      <c r="BH11" s="126"/>
      <c r="BI11" s="126" t="s">
        <v>485</v>
      </c>
      <c r="BJ11" s="128" t="s">
        <v>489</v>
      </c>
      <c r="BK11" s="105" t="s">
        <v>429</v>
      </c>
      <c r="BL11" s="129"/>
      <c r="BM11" s="129"/>
      <c r="BN11" s="36"/>
      <c r="BO11" s="130"/>
      <c r="BP11" s="32"/>
      <c r="BQ11" s="32"/>
      <c r="BR11" s="131"/>
      <c r="BS11" s="32"/>
      <c r="BT11" s="32"/>
    </row>
    <row r="12">
      <c r="A12" s="261">
        <v>9.102360609E9</v>
      </c>
      <c r="B12" s="262" t="s">
        <v>490</v>
      </c>
      <c r="C12" s="263" t="s">
        <v>491</v>
      </c>
      <c r="D12" s="264" t="s">
        <v>492</v>
      </c>
      <c r="E12" s="265" t="s">
        <v>493</v>
      </c>
      <c r="F12" s="265" t="s">
        <v>494</v>
      </c>
      <c r="G12" s="266" t="s">
        <v>495</v>
      </c>
      <c r="H12" s="267"/>
      <c r="I12" s="268" t="s">
        <v>496</v>
      </c>
      <c r="J12" s="269" t="str">
        <f>VLOOKUP(I12,DADOS!B:F,5,0)</f>
        <v>ETEMILSON OLIVEIRA SANTOS - NTS149530</v>
      </c>
      <c r="K12" s="270" t="s">
        <v>497</v>
      </c>
      <c r="L12" s="262" t="s">
        <v>11</v>
      </c>
      <c r="M12" s="262" t="s">
        <v>105</v>
      </c>
      <c r="N12" s="271">
        <v>46042.0</v>
      </c>
      <c r="O12" s="272" t="s">
        <v>498</v>
      </c>
      <c r="P12" s="252">
        <v>46042.0</v>
      </c>
      <c r="Q12" s="273">
        <v>46042.0</v>
      </c>
      <c r="R12" s="271">
        <v>46052.0</v>
      </c>
      <c r="S12" s="254" t="s">
        <v>499</v>
      </c>
      <c r="T12" s="274">
        <v>46082.0</v>
      </c>
      <c r="U12" s="275" t="s">
        <v>93</v>
      </c>
      <c r="V12" s="255" t="s">
        <v>500</v>
      </c>
      <c r="W12" s="274">
        <v>46082.0</v>
      </c>
      <c r="X12" s="275" t="s">
        <v>93</v>
      </c>
      <c r="Y12" s="276"/>
      <c r="Z12" s="277"/>
      <c r="AA12" s="278"/>
      <c r="AB12" s="279" t="s">
        <v>501</v>
      </c>
      <c r="AC12" s="262">
        <v>2.0</v>
      </c>
      <c r="AD12" s="263">
        <v>2.0</v>
      </c>
      <c r="AE12" s="262">
        <f>8+4-2</f>
        <v>10</v>
      </c>
      <c r="AF12" s="280">
        <v>10.0</v>
      </c>
      <c r="AG12" s="280">
        <v>10.0</v>
      </c>
      <c r="AH12" s="281">
        <f t="shared" si="5"/>
        <v>0</v>
      </c>
      <c r="AI12" s="282">
        <f t="shared" si="6"/>
        <v>1</v>
      </c>
      <c r="AJ12" s="283">
        <v>1.0</v>
      </c>
      <c r="AK12" s="271">
        <v>46055.0</v>
      </c>
      <c r="AL12" s="271">
        <v>46063.0</v>
      </c>
      <c r="AM12" s="284"/>
      <c r="AN12" s="285">
        <v>46066.0</v>
      </c>
      <c r="AO12" s="262" t="s">
        <v>502</v>
      </c>
      <c r="AP12" s="286" t="s">
        <v>503</v>
      </c>
      <c r="AQ12" s="118" t="s">
        <v>504</v>
      </c>
      <c r="AR12" s="286" t="s">
        <v>505</v>
      </c>
      <c r="AS12" s="287">
        <v>90045.29</v>
      </c>
      <c r="AT12" s="287"/>
      <c r="AU12" s="288">
        <f>VLOOKUP(I12,DADOS!B:C,2,0)</f>
        <v>2300</v>
      </c>
      <c r="AV12" s="289">
        <f t="shared" si="7"/>
        <v>24800</v>
      </c>
      <c r="AW12" s="290"/>
      <c r="AX12" s="290"/>
      <c r="AY12" s="265"/>
      <c r="AZ12" s="291"/>
      <c r="BA12" s="292" t="s">
        <v>506</v>
      </c>
      <c r="BB12" s="293" t="s">
        <v>507</v>
      </c>
      <c r="BC12" s="294"/>
      <c r="BD12" s="294"/>
      <c r="BE12" s="294"/>
      <c r="BF12" s="294"/>
      <c r="BG12" s="294">
        <f t="shared" si="8"/>
        <v>0</v>
      </c>
      <c r="BH12" s="294"/>
      <c r="BI12" s="294" t="s">
        <v>508</v>
      </c>
      <c r="BJ12" s="295" t="s">
        <v>509</v>
      </c>
      <c r="BK12" s="296" t="s">
        <v>429</v>
      </c>
      <c r="BL12" s="297"/>
      <c r="BM12" s="297"/>
      <c r="BN12" s="298"/>
      <c r="BO12" s="299"/>
      <c r="BP12" s="300"/>
      <c r="BQ12" s="300"/>
      <c r="BR12" s="300"/>
      <c r="BS12" s="32"/>
      <c r="BT12" s="32"/>
    </row>
    <row r="13">
      <c r="A13" s="261">
        <v>9.10236114E9</v>
      </c>
      <c r="B13" s="262" t="s">
        <v>510</v>
      </c>
      <c r="C13" s="264" t="s">
        <v>93</v>
      </c>
      <c r="D13" s="264" t="s">
        <v>93</v>
      </c>
      <c r="E13" s="301" t="s">
        <v>511</v>
      </c>
      <c r="F13" s="265" t="s">
        <v>494</v>
      </c>
      <c r="G13" s="266" t="s">
        <v>495</v>
      </c>
      <c r="H13" s="302"/>
      <c r="I13" s="268" t="s">
        <v>512</v>
      </c>
      <c r="J13" s="269" t="str">
        <f>VLOOKUP(I13,DADOS!B:F,5,0)</f>
        <v>ETEMILSON OLIVEIRA SANTOS - NTS149530</v>
      </c>
      <c r="K13" s="270" t="s">
        <v>497</v>
      </c>
      <c r="L13" s="303" t="s">
        <v>4</v>
      </c>
      <c r="M13" s="262" t="s">
        <v>105</v>
      </c>
      <c r="N13" s="271">
        <v>46042.0</v>
      </c>
      <c r="O13" s="272" t="s">
        <v>513</v>
      </c>
      <c r="P13" s="252">
        <v>46043.0</v>
      </c>
      <c r="Q13" s="273">
        <v>46043.0</v>
      </c>
      <c r="R13" s="271">
        <v>46052.0</v>
      </c>
      <c r="S13" s="254" t="s">
        <v>514</v>
      </c>
      <c r="T13" s="274">
        <v>46082.0</v>
      </c>
      <c r="U13" s="275" t="s">
        <v>93</v>
      </c>
      <c r="V13" s="255" t="s">
        <v>515</v>
      </c>
      <c r="W13" s="274">
        <v>46082.0</v>
      </c>
      <c r="X13" s="275" t="s">
        <v>93</v>
      </c>
      <c r="Y13" s="276"/>
      <c r="Z13" s="277"/>
      <c r="AA13" s="278"/>
      <c r="AB13" s="304" t="s">
        <v>516</v>
      </c>
      <c r="AC13" s="262">
        <v>1.0</v>
      </c>
      <c r="AD13" s="262">
        <v>0.0</v>
      </c>
      <c r="AE13" s="262">
        <v>1.0</v>
      </c>
      <c r="AF13" s="280">
        <v>1.0</v>
      </c>
      <c r="AG13" s="280">
        <v>1.0</v>
      </c>
      <c r="AH13" s="281">
        <f t="shared" si="5"/>
        <v>0</v>
      </c>
      <c r="AI13" s="282">
        <f t="shared" si="6"/>
        <v>1</v>
      </c>
      <c r="AJ13" s="283">
        <v>1.0</v>
      </c>
      <c r="AK13" s="271">
        <v>46055.0</v>
      </c>
      <c r="AL13" s="271">
        <v>46058.0</v>
      </c>
      <c r="AM13" s="284"/>
      <c r="AN13" s="285">
        <v>46066.0</v>
      </c>
      <c r="AO13" s="262" t="s">
        <v>517</v>
      </c>
      <c r="AP13" s="286" t="s">
        <v>518</v>
      </c>
      <c r="AQ13" s="118" t="s">
        <v>519</v>
      </c>
      <c r="AR13" s="286" t="s">
        <v>520</v>
      </c>
      <c r="AS13" s="287">
        <v>17263.4</v>
      </c>
      <c r="AT13" s="287"/>
      <c r="AU13" s="288">
        <f>VLOOKUP(I13,DADOS!B:C,2,0)</f>
        <v>2299</v>
      </c>
      <c r="AV13" s="289">
        <f t="shared" si="7"/>
        <v>2480</v>
      </c>
      <c r="AW13" s="290"/>
      <c r="AX13" s="290"/>
      <c r="AY13" s="265"/>
      <c r="AZ13" s="291"/>
      <c r="BA13" s="292" t="s">
        <v>506</v>
      </c>
      <c r="BB13" s="293" t="s">
        <v>521</v>
      </c>
      <c r="BC13" s="294"/>
      <c r="BD13" s="294"/>
      <c r="BE13" s="294"/>
      <c r="BF13" s="294"/>
      <c r="BG13" s="294">
        <f t="shared" si="8"/>
        <v>0</v>
      </c>
      <c r="BH13" s="294"/>
      <c r="BI13" s="294" t="s">
        <v>518</v>
      </c>
      <c r="BJ13" s="295" t="s">
        <v>522</v>
      </c>
      <c r="BK13" s="296" t="s">
        <v>429</v>
      </c>
      <c r="BL13" s="297"/>
      <c r="BM13" s="297"/>
      <c r="BN13" s="298"/>
      <c r="BO13" s="299"/>
      <c r="BP13" s="300"/>
      <c r="BQ13" s="300"/>
      <c r="BR13" s="300"/>
      <c r="BS13" s="32"/>
      <c r="BT13" s="32"/>
    </row>
    <row r="14">
      <c r="A14" s="261">
        <v>9.102365663E9</v>
      </c>
      <c r="B14" s="262" t="s">
        <v>523</v>
      </c>
      <c r="C14" s="142" t="s">
        <v>524</v>
      </c>
      <c r="D14" s="142" t="s">
        <v>525</v>
      </c>
      <c r="E14" s="301" t="s">
        <v>526</v>
      </c>
      <c r="F14" s="305" t="s">
        <v>494</v>
      </c>
      <c r="G14" s="266" t="s">
        <v>495</v>
      </c>
      <c r="H14" s="302"/>
      <c r="I14" s="268" t="s">
        <v>512</v>
      </c>
      <c r="J14" s="269" t="str">
        <f>VLOOKUP(I14,DADOS!B:F,5,0)</f>
        <v>ETEMILSON OLIVEIRA SANTOS - NTS149530</v>
      </c>
      <c r="K14" s="270" t="s">
        <v>497</v>
      </c>
      <c r="L14" s="303" t="s">
        <v>4</v>
      </c>
      <c r="M14" s="262" t="s">
        <v>105</v>
      </c>
      <c r="N14" s="271">
        <v>46042.0</v>
      </c>
      <c r="O14" s="272" t="s">
        <v>527</v>
      </c>
      <c r="P14" s="252">
        <v>46043.0</v>
      </c>
      <c r="Q14" s="273">
        <v>46043.0</v>
      </c>
      <c r="R14" s="271">
        <v>46052.0</v>
      </c>
      <c r="S14" s="254" t="s">
        <v>528</v>
      </c>
      <c r="T14" s="274">
        <v>46082.0</v>
      </c>
      <c r="U14" s="275" t="s">
        <v>93</v>
      </c>
      <c r="V14" s="255" t="str">
        <f>S14</f>
        <v>2026-12245</v>
      </c>
      <c r="W14" s="274">
        <v>46082.0</v>
      </c>
      <c r="X14" s="275" t="s">
        <v>93</v>
      </c>
      <c r="Y14" s="276"/>
      <c r="Z14" s="277"/>
      <c r="AA14" s="278"/>
      <c r="AB14" s="304" t="s">
        <v>529</v>
      </c>
      <c r="AC14" s="262">
        <v>1.0</v>
      </c>
      <c r="AD14" s="262">
        <v>0.0</v>
      </c>
      <c r="AE14" s="262">
        <v>1.0</v>
      </c>
      <c r="AF14" s="280">
        <v>1.0</v>
      </c>
      <c r="AG14" s="280">
        <v>1.0</v>
      </c>
      <c r="AH14" s="281">
        <f t="shared" si="5"/>
        <v>0</v>
      </c>
      <c r="AI14" s="282">
        <f t="shared" si="6"/>
        <v>1</v>
      </c>
      <c r="AJ14" s="283">
        <v>1.0</v>
      </c>
      <c r="AK14" s="271">
        <v>46055.0</v>
      </c>
      <c r="AL14" s="271">
        <v>46058.0</v>
      </c>
      <c r="AM14" s="284"/>
      <c r="AN14" s="285">
        <v>46056.0</v>
      </c>
      <c r="AO14" s="262" t="s">
        <v>530</v>
      </c>
      <c r="AP14" s="286" t="s">
        <v>531</v>
      </c>
      <c r="AQ14" s="118" t="s">
        <v>532</v>
      </c>
      <c r="AR14" s="286" t="s">
        <v>533</v>
      </c>
      <c r="AS14" s="287">
        <v>7821.16</v>
      </c>
      <c r="AT14" s="287"/>
      <c r="AU14" s="288">
        <f>VLOOKUP(I14,DADOS!B:C,2,0)</f>
        <v>2299</v>
      </c>
      <c r="AV14" s="289">
        <f t="shared" si="7"/>
        <v>2480</v>
      </c>
      <c r="AW14" s="290"/>
      <c r="AX14" s="290"/>
      <c r="AY14" s="265"/>
      <c r="AZ14" s="291"/>
      <c r="BA14" s="292" t="s">
        <v>534</v>
      </c>
      <c r="BB14" s="293" t="s">
        <v>535</v>
      </c>
      <c r="BC14" s="294"/>
      <c r="BD14" s="294"/>
      <c r="BE14" s="294"/>
      <c r="BF14" s="294"/>
      <c r="BG14" s="294">
        <f t="shared" si="8"/>
        <v>0</v>
      </c>
      <c r="BH14" s="294"/>
      <c r="BI14" s="294" t="s">
        <v>536</v>
      </c>
      <c r="BJ14" s="295" t="s">
        <v>537</v>
      </c>
      <c r="BK14" s="296" t="s">
        <v>429</v>
      </c>
      <c r="BL14" s="297"/>
      <c r="BM14" s="297"/>
      <c r="BN14" s="298"/>
      <c r="BO14" s="299"/>
      <c r="BP14" s="300"/>
      <c r="BQ14" s="300"/>
      <c r="BR14" s="300"/>
      <c r="BS14" s="32"/>
      <c r="BT14" s="32"/>
    </row>
    <row r="15">
      <c r="A15" s="306">
        <v>9.101786013E9</v>
      </c>
      <c r="B15" s="262" t="s">
        <v>538</v>
      </c>
      <c r="C15" s="307" t="s">
        <v>93</v>
      </c>
      <c r="D15" s="307" t="s">
        <v>93</v>
      </c>
      <c r="E15" s="305" t="s">
        <v>539</v>
      </c>
      <c r="F15" s="305" t="s">
        <v>540</v>
      </c>
      <c r="G15" s="266" t="s">
        <v>495</v>
      </c>
      <c r="H15" s="308"/>
      <c r="I15" s="268" t="s">
        <v>496</v>
      </c>
      <c r="J15" s="269" t="str">
        <f>VLOOKUP(I15,DADOS!B:F,5,0)</f>
        <v>ETEMILSON OLIVEIRA SANTOS - NTS149530</v>
      </c>
      <c r="K15" s="309" t="s">
        <v>497</v>
      </c>
      <c r="L15" s="310" t="s">
        <v>4</v>
      </c>
      <c r="M15" s="311" t="s">
        <v>541</v>
      </c>
      <c r="N15" s="312">
        <v>46041.0</v>
      </c>
      <c r="O15" s="313" t="s">
        <v>542</v>
      </c>
      <c r="P15" s="314">
        <v>46041.0</v>
      </c>
      <c r="Q15" s="315">
        <v>46041.0</v>
      </c>
      <c r="R15" s="312">
        <v>46050.0</v>
      </c>
      <c r="S15" s="259" t="s">
        <v>543</v>
      </c>
      <c r="T15" s="316">
        <v>46082.0</v>
      </c>
      <c r="U15" s="317" t="s">
        <v>93</v>
      </c>
      <c r="V15" s="318" t="s">
        <v>544</v>
      </c>
      <c r="W15" s="316">
        <v>46082.0</v>
      </c>
      <c r="X15" s="317" t="s">
        <v>93</v>
      </c>
      <c r="Y15" s="319"/>
      <c r="Z15" s="277"/>
      <c r="AA15" s="320"/>
      <c r="AB15" s="321" t="s">
        <v>545</v>
      </c>
      <c r="AC15" s="311">
        <v>3.0</v>
      </c>
      <c r="AD15" s="311">
        <v>0.0</v>
      </c>
      <c r="AE15" s="311">
        <v>2.0</v>
      </c>
      <c r="AF15" s="322">
        <v>2.0</v>
      </c>
      <c r="AG15" s="322">
        <v>2.0</v>
      </c>
      <c r="AH15" s="281">
        <f t="shared" si="5"/>
        <v>0</v>
      </c>
      <c r="AI15" s="323">
        <f t="shared" si="6"/>
        <v>1</v>
      </c>
      <c r="AJ15" s="283">
        <v>1.0</v>
      </c>
      <c r="AK15" s="312">
        <v>46055.0</v>
      </c>
      <c r="AL15" s="312">
        <v>46059.0</v>
      </c>
      <c r="AM15" s="284"/>
      <c r="AN15" s="285">
        <v>46056.0</v>
      </c>
      <c r="AO15" s="311" t="s">
        <v>546</v>
      </c>
      <c r="AP15" s="324" t="s">
        <v>547</v>
      </c>
      <c r="AQ15" s="325" t="s">
        <v>548</v>
      </c>
      <c r="AR15" s="324" t="s">
        <v>549</v>
      </c>
      <c r="AS15" s="287">
        <v>9647.55</v>
      </c>
      <c r="AT15" s="326"/>
      <c r="AU15" s="327">
        <f>VLOOKUP(I15,DADOS!B:C,2,0)</f>
        <v>2300</v>
      </c>
      <c r="AV15" s="327">
        <f t="shared" si="7"/>
        <v>4960</v>
      </c>
      <c r="AW15" s="328">
        <v>0.063</v>
      </c>
      <c r="AX15" s="328"/>
      <c r="AY15" s="305"/>
      <c r="AZ15" s="329"/>
      <c r="BA15" s="292" t="s">
        <v>550</v>
      </c>
      <c r="BB15" s="293" t="s">
        <v>551</v>
      </c>
      <c r="BC15" s="294"/>
      <c r="BD15" s="294"/>
      <c r="BE15" s="294"/>
      <c r="BF15" s="294"/>
      <c r="BG15" s="294">
        <f t="shared" si="8"/>
        <v>0</v>
      </c>
      <c r="BH15" s="294"/>
      <c r="BI15" s="294" t="s">
        <v>552</v>
      </c>
      <c r="BJ15" s="295" t="s">
        <v>553</v>
      </c>
      <c r="BK15" s="296" t="s">
        <v>429</v>
      </c>
      <c r="BL15" s="297"/>
      <c r="BM15" s="297"/>
      <c r="BN15" s="330"/>
      <c r="BO15" s="299" t="s">
        <v>554</v>
      </c>
      <c r="BP15" s="331"/>
      <c r="BQ15" s="331"/>
      <c r="BR15" s="331"/>
      <c r="BS15" s="331"/>
      <c r="BT15" s="331"/>
    </row>
    <row r="16">
      <c r="A16" s="261">
        <v>9.102148573E9</v>
      </c>
      <c r="B16" s="262" t="s">
        <v>555</v>
      </c>
      <c r="C16" s="142" t="s">
        <v>556</v>
      </c>
      <c r="D16" s="142" t="s">
        <v>557</v>
      </c>
      <c r="E16" s="301" t="s">
        <v>558</v>
      </c>
      <c r="F16" s="305" t="s">
        <v>540</v>
      </c>
      <c r="G16" s="266" t="s">
        <v>495</v>
      </c>
      <c r="H16" s="302"/>
      <c r="I16" s="268" t="s">
        <v>496</v>
      </c>
      <c r="J16" s="269" t="str">
        <f>VLOOKUP(I16,DADOS!B:F,5,0)</f>
        <v>ETEMILSON OLIVEIRA SANTOS - NTS149530</v>
      </c>
      <c r="K16" s="270" t="s">
        <v>497</v>
      </c>
      <c r="L16" s="303" t="s">
        <v>4</v>
      </c>
      <c r="M16" s="262" t="s">
        <v>559</v>
      </c>
      <c r="N16" s="271">
        <v>46041.0</v>
      </c>
      <c r="O16" s="272" t="s">
        <v>542</v>
      </c>
      <c r="P16" s="332">
        <v>46041.0</v>
      </c>
      <c r="Q16" s="315">
        <v>46041.0</v>
      </c>
      <c r="R16" s="271">
        <v>46050.0</v>
      </c>
      <c r="S16" s="275" t="s">
        <v>93</v>
      </c>
      <c r="T16" s="275" t="s">
        <v>93</v>
      </c>
      <c r="U16" s="275" t="s">
        <v>93</v>
      </c>
      <c r="V16" s="255" t="s">
        <v>560</v>
      </c>
      <c r="W16" s="333">
        <v>46082.0</v>
      </c>
      <c r="X16" s="275" t="s">
        <v>93</v>
      </c>
      <c r="Y16" s="276"/>
      <c r="Z16" s="277"/>
      <c r="AA16" s="278"/>
      <c r="AB16" s="304" t="s">
        <v>561</v>
      </c>
      <c r="AC16" s="262">
        <v>1.0</v>
      </c>
      <c r="AD16" s="262">
        <v>0.0</v>
      </c>
      <c r="AE16" s="262">
        <v>2.0</v>
      </c>
      <c r="AF16" s="280">
        <v>2.0</v>
      </c>
      <c r="AG16" s="280">
        <v>2.0</v>
      </c>
      <c r="AH16" s="281">
        <f t="shared" si="5"/>
        <v>0</v>
      </c>
      <c r="AI16" s="282">
        <f t="shared" si="6"/>
        <v>1</v>
      </c>
      <c r="AJ16" s="283">
        <v>1.0</v>
      </c>
      <c r="AK16" s="271">
        <v>46055.0</v>
      </c>
      <c r="AL16" s="271">
        <v>46062.0</v>
      </c>
      <c r="AM16" s="284"/>
      <c r="AN16" s="285">
        <v>46056.0</v>
      </c>
      <c r="AO16" s="262" t="s">
        <v>562</v>
      </c>
      <c r="AP16" s="286" t="s">
        <v>563</v>
      </c>
      <c r="AQ16" s="118" t="s">
        <v>564</v>
      </c>
      <c r="AR16" s="286" t="s">
        <v>565</v>
      </c>
      <c r="AS16" s="287">
        <v>17165.07</v>
      </c>
      <c r="AT16" s="287"/>
      <c r="AU16" s="288">
        <f>VLOOKUP(I16,DADOS!B:C,2,0)</f>
        <v>2300</v>
      </c>
      <c r="AV16" s="289">
        <f t="shared" si="7"/>
        <v>4960</v>
      </c>
      <c r="AW16" s="290">
        <v>0.124</v>
      </c>
      <c r="AX16" s="290"/>
      <c r="AY16" s="265"/>
      <c r="AZ16" s="291"/>
      <c r="BA16" s="292" t="s">
        <v>566</v>
      </c>
      <c r="BB16" s="293" t="s">
        <v>567</v>
      </c>
      <c r="BC16" s="294"/>
      <c r="BD16" s="294"/>
      <c r="BE16" s="294"/>
      <c r="BF16" s="294"/>
      <c r="BG16" s="334">
        <f t="shared" si="8"/>
        <v>0</v>
      </c>
      <c r="BH16" s="294"/>
      <c r="BI16" s="294" t="s">
        <v>563</v>
      </c>
      <c r="BJ16" s="295" t="s">
        <v>568</v>
      </c>
      <c r="BK16" s="296" t="s">
        <v>429</v>
      </c>
      <c r="BL16" s="297"/>
      <c r="BM16" s="297"/>
      <c r="BN16" s="298"/>
      <c r="BO16" s="299" t="s">
        <v>554</v>
      </c>
      <c r="BP16" s="300"/>
      <c r="BQ16" s="300"/>
      <c r="BR16" s="300"/>
      <c r="BS16" s="300"/>
      <c r="BT16" s="300"/>
    </row>
    <row r="17">
      <c r="A17" s="261">
        <v>9.102244607E9</v>
      </c>
      <c r="B17" s="262" t="s">
        <v>569</v>
      </c>
      <c r="C17" s="264" t="s">
        <v>93</v>
      </c>
      <c r="D17" s="264" t="s">
        <v>93</v>
      </c>
      <c r="E17" s="301" t="s">
        <v>570</v>
      </c>
      <c r="F17" s="305" t="s">
        <v>540</v>
      </c>
      <c r="G17" s="266" t="s">
        <v>495</v>
      </c>
      <c r="H17" s="302"/>
      <c r="I17" s="268" t="s">
        <v>496</v>
      </c>
      <c r="J17" s="269" t="str">
        <f>VLOOKUP(I17,DADOS!B:F,5,0)</f>
        <v>ETEMILSON OLIVEIRA SANTOS - NTS149530</v>
      </c>
      <c r="K17" s="270" t="s">
        <v>497</v>
      </c>
      <c r="L17" s="303" t="s">
        <v>4</v>
      </c>
      <c r="M17" s="262" t="s">
        <v>105</v>
      </c>
      <c r="N17" s="271">
        <v>46041.0</v>
      </c>
      <c r="O17" s="272" t="s">
        <v>542</v>
      </c>
      <c r="P17" s="332">
        <v>46041.0</v>
      </c>
      <c r="Q17" s="315">
        <v>46041.0</v>
      </c>
      <c r="R17" s="271">
        <v>46050.0</v>
      </c>
      <c r="S17" s="275" t="s">
        <v>93</v>
      </c>
      <c r="T17" s="275" t="s">
        <v>93</v>
      </c>
      <c r="U17" s="275" t="s">
        <v>93</v>
      </c>
      <c r="V17" s="255" t="str">
        <f t="shared" ref="V17:W17" si="9">X17</f>
        <v>2026-10846</v>
      </c>
      <c r="W17" s="333">
        <f t="shared" si="9"/>
        <v>46059</v>
      </c>
      <c r="X17" s="254" t="s">
        <v>571</v>
      </c>
      <c r="Y17" s="276">
        <v>46059.0</v>
      </c>
      <c r="Z17" s="277" t="s">
        <v>572</v>
      </c>
      <c r="AA17" s="278"/>
      <c r="AB17" s="304" t="s">
        <v>573</v>
      </c>
      <c r="AC17" s="262">
        <v>1.0</v>
      </c>
      <c r="AD17" s="262">
        <v>0.0</v>
      </c>
      <c r="AE17" s="262">
        <v>2.0</v>
      </c>
      <c r="AF17" s="280">
        <v>2.0</v>
      </c>
      <c r="AG17" s="280">
        <v>2.0</v>
      </c>
      <c r="AH17" s="281">
        <f t="shared" si="5"/>
        <v>0</v>
      </c>
      <c r="AI17" s="282">
        <f t="shared" si="6"/>
        <v>1</v>
      </c>
      <c r="AJ17" s="283">
        <v>1.0</v>
      </c>
      <c r="AK17" s="271">
        <v>46055.0</v>
      </c>
      <c r="AL17" s="271">
        <v>46059.0</v>
      </c>
      <c r="AM17" s="284"/>
      <c r="AN17" s="285">
        <v>46059.0</v>
      </c>
      <c r="AO17" s="262" t="s">
        <v>574</v>
      </c>
      <c r="AP17" s="286" t="s">
        <v>575</v>
      </c>
      <c r="AQ17" s="118" t="s">
        <v>576</v>
      </c>
      <c r="AR17" s="286" t="s">
        <v>577</v>
      </c>
      <c r="AS17" s="287">
        <v>13747.03</v>
      </c>
      <c r="AT17" s="287"/>
      <c r="AU17" s="288">
        <f>VLOOKUP(I17,DADOS!B:C,2,0)</f>
        <v>2300</v>
      </c>
      <c r="AV17" s="289">
        <f t="shared" si="7"/>
        <v>4960</v>
      </c>
      <c r="AW17" s="290"/>
      <c r="AX17" s="290">
        <v>0.033</v>
      </c>
      <c r="AY17" s="265"/>
      <c r="AZ17" s="291"/>
      <c r="BA17" s="292" t="s">
        <v>566</v>
      </c>
      <c r="BB17" s="293" t="s">
        <v>578</v>
      </c>
      <c r="BC17" s="294"/>
      <c r="BD17" s="294"/>
      <c r="BE17" s="294"/>
      <c r="BF17" s="294"/>
      <c r="BG17" s="334">
        <f t="shared" si="8"/>
        <v>0</v>
      </c>
      <c r="BH17" s="294"/>
      <c r="BI17" s="294" t="s">
        <v>579</v>
      </c>
      <c r="BJ17" s="295" t="s">
        <v>580</v>
      </c>
      <c r="BK17" s="296" t="s">
        <v>429</v>
      </c>
      <c r="BL17" s="297"/>
      <c r="BM17" s="297"/>
      <c r="BN17" s="298"/>
      <c r="BO17" s="299"/>
      <c r="BP17" s="300"/>
      <c r="BQ17" s="300"/>
      <c r="BR17" s="300"/>
      <c r="BS17" s="300"/>
      <c r="BT17" s="300"/>
    </row>
    <row r="18">
      <c r="A18" s="261">
        <v>9.102361417E9</v>
      </c>
      <c r="B18" s="262" t="s">
        <v>581</v>
      </c>
      <c r="C18" s="264" t="s">
        <v>93</v>
      </c>
      <c r="D18" s="264" t="s">
        <v>93</v>
      </c>
      <c r="E18" s="305" t="s">
        <v>582</v>
      </c>
      <c r="F18" s="305" t="s">
        <v>583</v>
      </c>
      <c r="G18" s="266" t="s">
        <v>495</v>
      </c>
      <c r="H18" s="302"/>
      <c r="I18" s="268" t="s">
        <v>584</v>
      </c>
      <c r="J18" s="269" t="str">
        <f>VLOOKUP(I18,DADOS!B:F,5,0)</f>
        <v>GILVANDO RIOS DA CRUZ - NTS025538</v>
      </c>
      <c r="K18" s="270" t="s">
        <v>585</v>
      </c>
      <c r="L18" s="303" t="s">
        <v>4</v>
      </c>
      <c r="M18" s="262" t="s">
        <v>105</v>
      </c>
      <c r="N18" s="271"/>
      <c r="O18" s="272"/>
      <c r="P18" s="252">
        <v>46042.0</v>
      </c>
      <c r="Q18" s="273">
        <v>46043.0</v>
      </c>
      <c r="R18" s="271">
        <v>46051.0</v>
      </c>
      <c r="S18" s="275" t="s">
        <v>93</v>
      </c>
      <c r="T18" s="275" t="s">
        <v>93</v>
      </c>
      <c r="U18" s="275" t="s">
        <v>93</v>
      </c>
      <c r="V18" s="255" t="s">
        <v>586</v>
      </c>
      <c r="W18" s="333">
        <v>46082.0</v>
      </c>
      <c r="X18" s="275" t="s">
        <v>93</v>
      </c>
      <c r="Y18" s="276"/>
      <c r="Z18" s="277"/>
      <c r="AA18" s="278"/>
      <c r="AB18" s="304" t="s">
        <v>587</v>
      </c>
      <c r="AC18" s="262">
        <v>1.0</v>
      </c>
      <c r="AD18" s="262">
        <v>0.0</v>
      </c>
      <c r="AE18" s="262">
        <v>1.0</v>
      </c>
      <c r="AF18" s="280">
        <v>1.0</v>
      </c>
      <c r="AG18" s="280">
        <v>1.0</v>
      </c>
      <c r="AH18" s="281">
        <f t="shared" si="5"/>
        <v>0</v>
      </c>
      <c r="AI18" s="282">
        <f t="shared" si="6"/>
        <v>1</v>
      </c>
      <c r="AJ18" s="283">
        <v>1.0</v>
      </c>
      <c r="AK18" s="271">
        <v>46060.0</v>
      </c>
      <c r="AL18" s="271">
        <v>46060.0</v>
      </c>
      <c r="AM18" s="284"/>
      <c r="AN18" s="285">
        <v>46058.0</v>
      </c>
      <c r="AO18" s="262" t="s">
        <v>588</v>
      </c>
      <c r="AP18" s="286" t="s">
        <v>589</v>
      </c>
      <c r="AQ18" s="118" t="s">
        <v>590</v>
      </c>
      <c r="AR18" s="286" t="s">
        <v>591</v>
      </c>
      <c r="AS18" s="287">
        <v>5287.2</v>
      </c>
      <c r="AT18" s="287"/>
      <c r="AU18" s="288">
        <f>VLOOKUP(I18,DADOS!B:C,2,0)</f>
        <v>2381</v>
      </c>
      <c r="AV18" s="289">
        <f t="shared" si="7"/>
        <v>2480</v>
      </c>
      <c r="AW18" s="290">
        <v>0.063</v>
      </c>
      <c r="AX18" s="290"/>
      <c r="AY18" s="265"/>
      <c r="AZ18" s="291"/>
      <c r="BA18" s="292" t="s">
        <v>592</v>
      </c>
      <c r="BB18" s="293" t="s">
        <v>593</v>
      </c>
      <c r="BC18" s="294"/>
      <c r="BD18" s="294"/>
      <c r="BE18" s="294"/>
      <c r="BF18" s="294"/>
      <c r="BG18" s="334">
        <f t="shared" si="8"/>
        <v>0</v>
      </c>
      <c r="BH18" s="294"/>
      <c r="BI18" s="294" t="s">
        <v>589</v>
      </c>
      <c r="BJ18" s="295" t="s">
        <v>594</v>
      </c>
      <c r="BK18" s="296" t="s">
        <v>429</v>
      </c>
      <c r="BL18" s="297"/>
      <c r="BM18" s="297"/>
      <c r="BN18" s="298"/>
      <c r="BO18" s="299"/>
      <c r="BP18" s="300"/>
      <c r="BQ18" s="300"/>
      <c r="BR18" s="300"/>
      <c r="BS18" s="32"/>
      <c r="BT18" s="32"/>
    </row>
    <row r="19">
      <c r="A19" s="261">
        <v>9.102359457E9</v>
      </c>
      <c r="B19" s="262" t="s">
        <v>595</v>
      </c>
      <c r="C19" s="264" t="s">
        <v>93</v>
      </c>
      <c r="D19" s="264" t="s">
        <v>93</v>
      </c>
      <c r="E19" s="305" t="s">
        <v>596</v>
      </c>
      <c r="F19" s="305" t="s">
        <v>583</v>
      </c>
      <c r="G19" s="266" t="s">
        <v>495</v>
      </c>
      <c r="H19" s="302"/>
      <c r="I19" s="268" t="s">
        <v>584</v>
      </c>
      <c r="J19" s="269" t="str">
        <f>VLOOKUP(I19,DADOS!B:F,5,0)</f>
        <v>GILVANDO RIOS DA CRUZ - NTS025538</v>
      </c>
      <c r="K19" s="270" t="s">
        <v>585</v>
      </c>
      <c r="L19" s="303" t="s">
        <v>4</v>
      </c>
      <c r="M19" s="262" t="s">
        <v>105</v>
      </c>
      <c r="N19" s="271"/>
      <c r="O19" s="272"/>
      <c r="P19" s="335">
        <v>46042.0</v>
      </c>
      <c r="Q19" s="336">
        <v>46043.0</v>
      </c>
      <c r="R19" s="271">
        <v>46051.0</v>
      </c>
      <c r="S19" s="275" t="s">
        <v>93</v>
      </c>
      <c r="T19" s="275" t="s">
        <v>93</v>
      </c>
      <c r="U19" s="275" t="s">
        <v>93</v>
      </c>
      <c r="V19" s="255" t="s">
        <v>597</v>
      </c>
      <c r="W19" s="333">
        <v>46082.0</v>
      </c>
      <c r="X19" s="275" t="s">
        <v>93</v>
      </c>
      <c r="Y19" s="276"/>
      <c r="Z19" s="277"/>
      <c r="AA19" s="278"/>
      <c r="AB19" s="304" t="s">
        <v>598</v>
      </c>
      <c r="AC19" s="262">
        <v>1.0</v>
      </c>
      <c r="AD19" s="262">
        <v>0.0</v>
      </c>
      <c r="AE19" s="262">
        <v>3.0</v>
      </c>
      <c r="AF19" s="280">
        <v>3.0</v>
      </c>
      <c r="AG19" s="280">
        <v>3.0</v>
      </c>
      <c r="AH19" s="281">
        <f t="shared" si="5"/>
        <v>0</v>
      </c>
      <c r="AI19" s="282">
        <f t="shared" si="6"/>
        <v>1</v>
      </c>
      <c r="AJ19" s="283">
        <v>1.0</v>
      </c>
      <c r="AK19" s="271">
        <v>46060.0</v>
      </c>
      <c r="AL19" s="271">
        <v>46062.0</v>
      </c>
      <c r="AM19" s="284"/>
      <c r="AN19" s="285">
        <v>46058.0</v>
      </c>
      <c r="AO19" s="262" t="s">
        <v>599</v>
      </c>
      <c r="AP19" s="286" t="s">
        <v>600</v>
      </c>
      <c r="AQ19" s="118" t="s">
        <v>601</v>
      </c>
      <c r="AR19" s="286" t="s">
        <v>602</v>
      </c>
      <c r="AS19" s="287">
        <v>16733.26</v>
      </c>
      <c r="AT19" s="287"/>
      <c r="AU19" s="288">
        <f>VLOOKUP(I19,DADOS!B:C,2,0)</f>
        <v>2381</v>
      </c>
      <c r="AV19" s="289">
        <f t="shared" si="7"/>
        <v>7440</v>
      </c>
      <c r="AW19" s="290">
        <v>0.185</v>
      </c>
      <c r="AX19" s="290"/>
      <c r="AY19" s="265"/>
      <c r="AZ19" s="291"/>
      <c r="BA19" s="292" t="s">
        <v>603</v>
      </c>
      <c r="BB19" s="293" t="s">
        <v>604</v>
      </c>
      <c r="BC19" s="294"/>
      <c r="BD19" s="294"/>
      <c r="BE19" s="294"/>
      <c r="BF19" s="294"/>
      <c r="BG19" s="334">
        <f t="shared" si="8"/>
        <v>0</v>
      </c>
      <c r="BH19" s="294"/>
      <c r="BI19" s="294" t="s">
        <v>600</v>
      </c>
      <c r="BJ19" s="295" t="s">
        <v>605</v>
      </c>
      <c r="BK19" s="296" t="s">
        <v>429</v>
      </c>
      <c r="BL19" s="297"/>
      <c r="BM19" s="297"/>
      <c r="BN19" s="298"/>
      <c r="BO19" s="299"/>
      <c r="BP19" s="300"/>
      <c r="BQ19" s="300"/>
      <c r="BR19" s="300"/>
      <c r="BS19" s="300"/>
      <c r="BT19" s="300"/>
    </row>
    <row r="20">
      <c r="A20" s="261">
        <v>9.102355789E9</v>
      </c>
      <c r="B20" s="262" t="s">
        <v>606</v>
      </c>
      <c r="C20" s="142" t="s">
        <v>93</v>
      </c>
      <c r="D20" s="142" t="s">
        <v>93</v>
      </c>
      <c r="E20" s="337" t="s">
        <v>607</v>
      </c>
      <c r="F20" s="305" t="s">
        <v>386</v>
      </c>
      <c r="G20" s="266" t="s">
        <v>495</v>
      </c>
      <c r="H20" s="302"/>
      <c r="I20" s="268" t="s">
        <v>496</v>
      </c>
      <c r="J20" s="269" t="str">
        <f>VLOOKUP(I20,DADOS!B:F,5,0)</f>
        <v>ETEMILSON OLIVEIRA SANTOS - NTS149530</v>
      </c>
      <c r="K20" s="270" t="s">
        <v>608</v>
      </c>
      <c r="L20" s="303" t="s">
        <v>4</v>
      </c>
      <c r="M20" s="262" t="s">
        <v>105</v>
      </c>
      <c r="N20" s="271">
        <v>46044.0</v>
      </c>
      <c r="O20" s="272" t="s">
        <v>609</v>
      </c>
      <c r="P20" s="335">
        <v>46044.0</v>
      </c>
      <c r="Q20" s="273">
        <v>46048.0</v>
      </c>
      <c r="R20" s="271">
        <v>46057.0</v>
      </c>
      <c r="S20" s="275" t="s">
        <v>93</v>
      </c>
      <c r="T20" s="275" t="s">
        <v>93</v>
      </c>
      <c r="U20" s="275" t="s">
        <v>93</v>
      </c>
      <c r="V20" s="255" t="s">
        <v>610</v>
      </c>
      <c r="W20" s="333" t="str">
        <f>Y20</f>
        <v/>
      </c>
      <c r="X20" s="275" t="s">
        <v>93</v>
      </c>
      <c r="Y20" s="276"/>
      <c r="Z20" s="277" t="s">
        <v>162</v>
      </c>
      <c r="AA20" s="278"/>
      <c r="AB20" s="304" t="s">
        <v>611</v>
      </c>
      <c r="AC20" s="262">
        <v>1.0</v>
      </c>
      <c r="AD20" s="262">
        <v>0.0</v>
      </c>
      <c r="AE20" s="262">
        <v>6.0</v>
      </c>
      <c r="AF20" s="280">
        <v>6.0</v>
      </c>
      <c r="AG20" s="280">
        <v>6.0</v>
      </c>
      <c r="AH20" s="281">
        <f t="shared" si="5"/>
        <v>0</v>
      </c>
      <c r="AI20" s="282">
        <f t="shared" si="6"/>
        <v>1</v>
      </c>
      <c r="AJ20" s="283">
        <v>1.0</v>
      </c>
      <c r="AK20" s="271">
        <v>46055.0</v>
      </c>
      <c r="AL20" s="271">
        <v>46058.0</v>
      </c>
      <c r="AM20" s="284"/>
      <c r="AN20" s="285">
        <v>46057.0</v>
      </c>
      <c r="AO20" s="262" t="s">
        <v>612</v>
      </c>
      <c r="AP20" s="286" t="s">
        <v>613</v>
      </c>
      <c r="AQ20" s="118" t="s">
        <v>614</v>
      </c>
      <c r="AR20" s="286" t="s">
        <v>615</v>
      </c>
      <c r="AS20" s="287">
        <v>16374.58</v>
      </c>
      <c r="AT20" s="287"/>
      <c r="AU20" s="288">
        <f>VLOOKUP(I20,DADOS!B:C,2,0)</f>
        <v>2300</v>
      </c>
      <c r="AV20" s="289">
        <f t="shared" si="7"/>
        <v>14880</v>
      </c>
      <c r="AW20" s="290">
        <v>0.21</v>
      </c>
      <c r="AX20" s="290"/>
      <c r="AY20" s="265"/>
      <c r="AZ20" s="291"/>
      <c r="BA20" s="292" t="s">
        <v>616</v>
      </c>
      <c r="BB20" s="293" t="s">
        <v>617</v>
      </c>
      <c r="BC20" s="294"/>
      <c r="BD20" s="294"/>
      <c r="BE20" s="294"/>
      <c r="BF20" s="294"/>
      <c r="BG20" s="334">
        <f t="shared" si="8"/>
        <v>0</v>
      </c>
      <c r="BH20" s="294"/>
      <c r="BI20" s="294" t="s">
        <v>618</v>
      </c>
      <c r="BJ20" s="295" t="s">
        <v>619</v>
      </c>
      <c r="BK20" s="296" t="s">
        <v>429</v>
      </c>
      <c r="BL20" s="297"/>
      <c r="BM20" s="297"/>
      <c r="BN20" s="298"/>
      <c r="BO20" s="299"/>
      <c r="BP20" s="300"/>
      <c r="BQ20" s="300"/>
      <c r="BR20" s="300"/>
      <c r="BS20" s="300"/>
      <c r="BT20" s="300"/>
    </row>
    <row r="21">
      <c r="A21" s="261">
        <v>9.102371542E9</v>
      </c>
      <c r="B21" s="262" t="s">
        <v>620</v>
      </c>
      <c r="C21" s="264" t="s">
        <v>93</v>
      </c>
      <c r="D21" s="264" t="s">
        <v>93</v>
      </c>
      <c r="E21" s="305" t="s">
        <v>621</v>
      </c>
      <c r="F21" s="305" t="s">
        <v>386</v>
      </c>
      <c r="G21" s="266" t="s">
        <v>495</v>
      </c>
      <c r="H21" s="302"/>
      <c r="I21" s="268" t="s">
        <v>496</v>
      </c>
      <c r="J21" s="269" t="str">
        <f>VLOOKUP(I21,DADOS!B:F,5,0)</f>
        <v>ETEMILSON OLIVEIRA SANTOS - NTS149530</v>
      </c>
      <c r="K21" s="270" t="s">
        <v>608</v>
      </c>
      <c r="L21" s="303" t="s">
        <v>4</v>
      </c>
      <c r="M21" s="262" t="s">
        <v>105</v>
      </c>
      <c r="N21" s="271">
        <v>46044.0</v>
      </c>
      <c r="O21" s="272" t="s">
        <v>609</v>
      </c>
      <c r="P21" s="314">
        <v>46044.0</v>
      </c>
      <c r="Q21" s="273">
        <v>46048.0</v>
      </c>
      <c r="R21" s="271">
        <v>46057.0</v>
      </c>
      <c r="S21" s="275" t="s">
        <v>93</v>
      </c>
      <c r="T21" s="275" t="s">
        <v>93</v>
      </c>
      <c r="U21" s="275" t="s">
        <v>93</v>
      </c>
      <c r="V21" s="255" t="s">
        <v>622</v>
      </c>
      <c r="W21" s="333">
        <v>46082.0</v>
      </c>
      <c r="X21" s="275" t="s">
        <v>93</v>
      </c>
      <c r="Y21" s="276"/>
      <c r="Z21" s="277"/>
      <c r="AA21" s="278"/>
      <c r="AB21" s="338" t="s">
        <v>623</v>
      </c>
      <c r="AC21" s="262">
        <v>1.0</v>
      </c>
      <c r="AD21" s="262">
        <v>0.0</v>
      </c>
      <c r="AE21" s="262">
        <v>2.0</v>
      </c>
      <c r="AF21" s="280">
        <v>2.0</v>
      </c>
      <c r="AG21" s="280">
        <v>2.0</v>
      </c>
      <c r="AH21" s="281">
        <f t="shared" si="5"/>
        <v>0</v>
      </c>
      <c r="AI21" s="282">
        <f t="shared" si="6"/>
        <v>1</v>
      </c>
      <c r="AJ21" s="283">
        <v>1.0</v>
      </c>
      <c r="AK21" s="271">
        <v>46063.0</v>
      </c>
      <c r="AL21" s="271">
        <v>46063.0</v>
      </c>
      <c r="AM21" s="284"/>
      <c r="AN21" s="285">
        <v>46056.0</v>
      </c>
      <c r="AO21" s="262" t="s">
        <v>624</v>
      </c>
      <c r="AP21" s="286" t="s">
        <v>625</v>
      </c>
      <c r="AQ21" s="118" t="s">
        <v>626</v>
      </c>
      <c r="AR21" s="286" t="s">
        <v>627</v>
      </c>
      <c r="AS21" s="287">
        <v>11593.74</v>
      </c>
      <c r="AT21" s="287"/>
      <c r="AU21" s="288">
        <f>VLOOKUP(I21,DADOS!B:C,2,0)</f>
        <v>2300</v>
      </c>
      <c r="AV21" s="289">
        <f t="shared" si="7"/>
        <v>4960</v>
      </c>
      <c r="AW21" s="290">
        <v>0.156</v>
      </c>
      <c r="AX21" s="290"/>
      <c r="AY21" s="265"/>
      <c r="AZ21" s="291"/>
      <c r="BA21" s="292" t="s">
        <v>616</v>
      </c>
      <c r="BB21" s="293" t="s">
        <v>628</v>
      </c>
      <c r="BC21" s="294"/>
      <c r="BD21" s="294"/>
      <c r="BE21" s="294"/>
      <c r="BF21" s="294"/>
      <c r="BG21" s="334">
        <f t="shared" si="8"/>
        <v>0</v>
      </c>
      <c r="BH21" s="294"/>
      <c r="BI21" s="294" t="s">
        <v>629</v>
      </c>
      <c r="BJ21" s="295" t="s">
        <v>630</v>
      </c>
      <c r="BK21" s="296" t="s">
        <v>429</v>
      </c>
      <c r="BL21" s="297"/>
      <c r="BM21" s="297"/>
      <c r="BN21" s="298"/>
      <c r="BO21" s="299"/>
      <c r="BP21" s="300"/>
      <c r="BQ21" s="300"/>
      <c r="BR21" s="300"/>
      <c r="BS21" s="300"/>
      <c r="BT21" s="300"/>
    </row>
    <row r="22">
      <c r="A22" s="261">
        <v>9.102364909E9</v>
      </c>
      <c r="B22" s="262" t="s">
        <v>631</v>
      </c>
      <c r="C22" s="264" t="s">
        <v>93</v>
      </c>
      <c r="D22" s="264" t="s">
        <v>93</v>
      </c>
      <c r="E22" s="301" t="s">
        <v>632</v>
      </c>
      <c r="F22" s="305" t="s">
        <v>633</v>
      </c>
      <c r="G22" s="266" t="s">
        <v>495</v>
      </c>
      <c r="H22" s="302"/>
      <c r="I22" s="268" t="s">
        <v>459</v>
      </c>
      <c r="J22" s="269" t="s">
        <v>634</v>
      </c>
      <c r="K22" s="270" t="s">
        <v>413</v>
      </c>
      <c r="L22" s="303" t="s">
        <v>4</v>
      </c>
      <c r="M22" s="262" t="s">
        <v>105</v>
      </c>
      <c r="N22" s="271"/>
      <c r="O22" s="272"/>
      <c r="P22" s="252">
        <v>46049.0</v>
      </c>
      <c r="Q22" s="339">
        <v>46051.0</v>
      </c>
      <c r="R22" s="271">
        <v>46058.0</v>
      </c>
      <c r="S22" s="275" t="s">
        <v>635</v>
      </c>
      <c r="T22" s="275" t="s">
        <v>93</v>
      </c>
      <c r="U22" s="275" t="s">
        <v>93</v>
      </c>
      <c r="V22" s="255" t="str">
        <f t="shared" ref="V22:W22" si="10">X22</f>
        <v>2026-10814</v>
      </c>
      <c r="W22" s="333">
        <f t="shared" si="10"/>
        <v>46065</v>
      </c>
      <c r="X22" s="259" t="s">
        <v>636</v>
      </c>
      <c r="Y22" s="276">
        <v>46065.0</v>
      </c>
      <c r="Z22" s="277" t="s">
        <v>448</v>
      </c>
      <c r="AA22" s="324" t="s">
        <v>637</v>
      </c>
      <c r="AB22" s="304" t="s">
        <v>638</v>
      </c>
      <c r="AC22" s="262">
        <v>1.0</v>
      </c>
      <c r="AD22" s="262">
        <v>0.0</v>
      </c>
      <c r="AE22" s="262">
        <v>9.0</v>
      </c>
      <c r="AF22" s="280">
        <v>9.0</v>
      </c>
      <c r="AG22" s="280">
        <f>7+2</f>
        <v>9</v>
      </c>
      <c r="AH22" s="281">
        <f t="shared" si="5"/>
        <v>0</v>
      </c>
      <c r="AI22" s="282">
        <f t="shared" si="6"/>
        <v>1</v>
      </c>
      <c r="AJ22" s="283">
        <v>1.0</v>
      </c>
      <c r="AK22" s="271">
        <v>46058.0</v>
      </c>
      <c r="AL22" s="271">
        <v>46065.0</v>
      </c>
      <c r="AM22" s="284"/>
      <c r="AN22" s="285">
        <v>46065.0</v>
      </c>
      <c r="AO22" s="262" t="s">
        <v>639</v>
      </c>
      <c r="AP22" s="286" t="s">
        <v>640</v>
      </c>
      <c r="AQ22" s="118" t="s">
        <v>641</v>
      </c>
      <c r="AR22" s="286" t="s">
        <v>642</v>
      </c>
      <c r="AS22" s="287">
        <v>62721.97</v>
      </c>
      <c r="AT22" s="287"/>
      <c r="AU22" s="288">
        <f>VLOOKUP(I22,DADOS!B:C,2,0)</f>
        <v>2326</v>
      </c>
      <c r="AV22" s="289">
        <f t="shared" si="7"/>
        <v>22320</v>
      </c>
      <c r="AW22" s="290"/>
      <c r="AX22" s="290"/>
      <c r="AY22" s="265"/>
      <c r="AZ22" s="291"/>
      <c r="BA22" s="292" t="s">
        <v>260</v>
      </c>
      <c r="BB22" s="293" t="s">
        <v>643</v>
      </c>
      <c r="BC22" s="294"/>
      <c r="BD22" s="294"/>
      <c r="BE22" s="294"/>
      <c r="BF22" s="294"/>
      <c r="BG22" s="294">
        <f t="shared" si="8"/>
        <v>0</v>
      </c>
      <c r="BH22" s="294"/>
      <c r="BI22" s="294" t="s">
        <v>644</v>
      </c>
      <c r="BJ22" s="295" t="s">
        <v>645</v>
      </c>
      <c r="BK22" s="296" t="s">
        <v>429</v>
      </c>
      <c r="BL22" s="297"/>
      <c r="BM22" s="297"/>
      <c r="BN22" s="298"/>
      <c r="BO22" s="299"/>
      <c r="BP22" s="300"/>
      <c r="BQ22" s="300"/>
      <c r="BR22" s="300"/>
      <c r="BS22" s="300"/>
      <c r="BT22" s="300"/>
    </row>
    <row r="23">
      <c r="A23" s="261">
        <v>9.102369238E9</v>
      </c>
      <c r="B23" s="262" t="s">
        <v>646</v>
      </c>
      <c r="C23" s="264" t="s">
        <v>93</v>
      </c>
      <c r="D23" s="264" t="s">
        <v>93</v>
      </c>
      <c r="E23" s="301" t="s">
        <v>647</v>
      </c>
      <c r="F23" s="305" t="s">
        <v>633</v>
      </c>
      <c r="G23" s="266" t="s">
        <v>495</v>
      </c>
      <c r="H23" s="302"/>
      <c r="I23" s="268" t="s">
        <v>459</v>
      </c>
      <c r="J23" s="269" t="s">
        <v>634</v>
      </c>
      <c r="K23" s="270" t="s">
        <v>413</v>
      </c>
      <c r="L23" s="303" t="s">
        <v>4</v>
      </c>
      <c r="M23" s="262" t="s">
        <v>105</v>
      </c>
      <c r="N23" s="271"/>
      <c r="O23" s="272"/>
      <c r="P23" s="252">
        <v>46043.0</v>
      </c>
      <c r="Q23" s="340">
        <v>46044.0</v>
      </c>
      <c r="R23" s="271">
        <v>46051.0</v>
      </c>
      <c r="S23" s="275" t="s">
        <v>93</v>
      </c>
      <c r="T23" s="275" t="s">
        <v>93</v>
      </c>
      <c r="U23" s="275" t="s">
        <v>93</v>
      </c>
      <c r="V23" s="255" t="str">
        <f t="shared" ref="V23:W23" si="11">X23</f>
        <v>2026-12006</v>
      </c>
      <c r="W23" s="333">
        <f t="shared" si="11"/>
        <v>46064</v>
      </c>
      <c r="X23" s="259" t="s">
        <v>648</v>
      </c>
      <c r="Y23" s="276">
        <v>46064.0</v>
      </c>
      <c r="Z23" s="277" t="s">
        <v>448</v>
      </c>
      <c r="AA23" s="278"/>
      <c r="AB23" s="304" t="s">
        <v>649</v>
      </c>
      <c r="AC23" s="262">
        <v>1.0</v>
      </c>
      <c r="AD23" s="262">
        <v>0.0</v>
      </c>
      <c r="AE23" s="262">
        <v>2.0</v>
      </c>
      <c r="AF23" s="280">
        <v>2.0</v>
      </c>
      <c r="AG23" s="280">
        <v>2.0</v>
      </c>
      <c r="AH23" s="281">
        <f t="shared" si="5"/>
        <v>0</v>
      </c>
      <c r="AI23" s="282">
        <f t="shared" si="6"/>
        <v>1</v>
      </c>
      <c r="AJ23" s="283">
        <v>1.0</v>
      </c>
      <c r="AK23" s="271">
        <v>46057.0</v>
      </c>
      <c r="AL23" s="271">
        <v>46060.0</v>
      </c>
      <c r="AM23" s="284"/>
      <c r="AN23" s="285">
        <v>46064.0</v>
      </c>
      <c r="AO23" s="262" t="s">
        <v>650</v>
      </c>
      <c r="AP23" s="286" t="s">
        <v>651</v>
      </c>
      <c r="AQ23" s="118" t="s">
        <v>652</v>
      </c>
      <c r="AR23" s="286" t="s">
        <v>653</v>
      </c>
      <c r="AS23" s="287">
        <v>11267.31</v>
      </c>
      <c r="AT23" s="287"/>
      <c r="AU23" s="288">
        <f>VLOOKUP(I23,DADOS!B:C,2,0)</f>
        <v>2326</v>
      </c>
      <c r="AV23" s="289">
        <f t="shared" si="7"/>
        <v>4960</v>
      </c>
      <c r="AW23" s="290"/>
      <c r="AX23" s="290"/>
      <c r="AY23" s="265"/>
      <c r="AZ23" s="291"/>
      <c r="BA23" s="292" t="s">
        <v>260</v>
      </c>
      <c r="BB23" s="293" t="s">
        <v>654</v>
      </c>
      <c r="BC23" s="294"/>
      <c r="BD23" s="294"/>
      <c r="BE23" s="294"/>
      <c r="BF23" s="294"/>
      <c r="BG23" s="334">
        <f t="shared" si="8"/>
        <v>0</v>
      </c>
      <c r="BH23" s="294"/>
      <c r="BI23" s="294" t="s">
        <v>655</v>
      </c>
      <c r="BJ23" s="295" t="s">
        <v>656</v>
      </c>
      <c r="BK23" s="296" t="s">
        <v>429</v>
      </c>
      <c r="BL23" s="297"/>
      <c r="BM23" s="297"/>
      <c r="BN23" s="298"/>
      <c r="BO23" s="299"/>
      <c r="BP23" s="300"/>
      <c r="BQ23" s="300"/>
      <c r="BR23" s="300"/>
      <c r="BS23" s="300"/>
      <c r="BT23" s="300"/>
    </row>
    <row r="24">
      <c r="A24" s="261">
        <v>9.102356472E9</v>
      </c>
      <c r="B24" s="262" t="s">
        <v>657</v>
      </c>
      <c r="C24" s="264" t="s">
        <v>93</v>
      </c>
      <c r="D24" s="264" t="s">
        <v>93</v>
      </c>
      <c r="E24" s="301" t="s">
        <v>658</v>
      </c>
      <c r="F24" s="305" t="s">
        <v>129</v>
      </c>
      <c r="G24" s="266" t="s">
        <v>495</v>
      </c>
      <c r="H24" s="302"/>
      <c r="I24" s="268" t="s">
        <v>412</v>
      </c>
      <c r="J24" s="269" t="str">
        <f>VLOOKUP(I24,DADOS!B:F,5,0)</f>
        <v>ETEMILSON OLIVEIRA SANTOS - NTS149530</v>
      </c>
      <c r="K24" s="270" t="s">
        <v>131</v>
      </c>
      <c r="L24" s="303" t="s">
        <v>4</v>
      </c>
      <c r="M24" s="262" t="s">
        <v>105</v>
      </c>
      <c r="N24" s="271">
        <v>46042.0</v>
      </c>
      <c r="O24" s="272" t="s">
        <v>659</v>
      </c>
      <c r="P24" s="314">
        <v>46043.0</v>
      </c>
      <c r="Q24" s="341">
        <v>46043.0</v>
      </c>
      <c r="R24" s="271">
        <v>46052.0</v>
      </c>
      <c r="S24" s="259" t="s">
        <v>660</v>
      </c>
      <c r="T24" s="274">
        <v>46082.0</v>
      </c>
      <c r="U24" s="275" t="s">
        <v>93</v>
      </c>
      <c r="V24" s="255" t="s">
        <v>661</v>
      </c>
      <c r="W24" s="274">
        <v>46082.0</v>
      </c>
      <c r="X24" s="275" t="s">
        <v>93</v>
      </c>
      <c r="Y24" s="276"/>
      <c r="Z24" s="277"/>
      <c r="AA24" s="278"/>
      <c r="AB24" s="304" t="s">
        <v>662</v>
      </c>
      <c r="AC24" s="262">
        <v>1.0</v>
      </c>
      <c r="AD24" s="262">
        <v>0.0</v>
      </c>
      <c r="AE24" s="262">
        <v>2.0</v>
      </c>
      <c r="AF24" s="280">
        <v>2.0</v>
      </c>
      <c r="AG24" s="280">
        <v>2.0</v>
      </c>
      <c r="AH24" s="281">
        <f t="shared" si="5"/>
        <v>0</v>
      </c>
      <c r="AI24" s="282">
        <f t="shared" si="6"/>
        <v>1</v>
      </c>
      <c r="AJ24" s="283">
        <v>1.0</v>
      </c>
      <c r="AK24" s="271">
        <v>46055.0</v>
      </c>
      <c r="AL24" s="271">
        <v>46056.0</v>
      </c>
      <c r="AM24" s="284"/>
      <c r="AN24" s="285">
        <v>46056.0</v>
      </c>
      <c r="AO24" s="262" t="s">
        <v>663</v>
      </c>
      <c r="AP24" s="286" t="s">
        <v>664</v>
      </c>
      <c r="AQ24" s="118" t="s">
        <v>665</v>
      </c>
      <c r="AR24" s="286" t="s">
        <v>666</v>
      </c>
      <c r="AS24" s="287">
        <v>20542.18</v>
      </c>
      <c r="AT24" s="287"/>
      <c r="AU24" s="288">
        <f>VLOOKUP(I24,DADOS!B:C,2,0)</f>
        <v>2332</v>
      </c>
      <c r="AV24" s="289">
        <f t="shared" si="7"/>
        <v>4960</v>
      </c>
      <c r="AW24" s="290">
        <v>0.063</v>
      </c>
      <c r="AX24" s="290"/>
      <c r="AY24" s="265"/>
      <c r="AZ24" s="291"/>
      <c r="BA24" s="292" t="s">
        <v>140</v>
      </c>
      <c r="BB24" s="293" t="s">
        <v>667</v>
      </c>
      <c r="BC24" s="294"/>
      <c r="BD24" s="294"/>
      <c r="BE24" s="294"/>
      <c r="BF24" s="294"/>
      <c r="BG24" s="294">
        <f t="shared" si="8"/>
        <v>0</v>
      </c>
      <c r="BH24" s="294"/>
      <c r="BI24" s="294" t="s">
        <v>664</v>
      </c>
      <c r="BJ24" s="295" t="s">
        <v>668</v>
      </c>
      <c r="BK24" s="296" t="s">
        <v>429</v>
      </c>
      <c r="BL24" s="297"/>
      <c r="BM24" s="297"/>
      <c r="BN24" s="298"/>
      <c r="BO24" s="299"/>
      <c r="BP24" s="300"/>
      <c r="BQ24" s="300"/>
      <c r="BR24" s="300"/>
      <c r="BS24" s="32"/>
      <c r="BT24" s="32"/>
    </row>
    <row r="25">
      <c r="A25" s="140">
        <v>9.101089006E9</v>
      </c>
      <c r="B25" s="141" t="s">
        <v>669</v>
      </c>
      <c r="C25" s="142"/>
      <c r="D25" s="142"/>
      <c r="E25" s="172" t="s">
        <v>670</v>
      </c>
      <c r="F25" s="172" t="s">
        <v>129</v>
      </c>
      <c r="G25" s="145" t="s">
        <v>162</v>
      </c>
      <c r="H25" s="146" t="s">
        <v>671</v>
      </c>
      <c r="I25" s="147" t="s">
        <v>496</v>
      </c>
      <c r="J25" s="148" t="str">
        <f>VLOOKUP(I25,DADOS!B:F,5,0)</f>
        <v>ETEMILSON OLIVEIRA SANTOS - NTS149530</v>
      </c>
      <c r="K25" s="149" t="s">
        <v>131</v>
      </c>
      <c r="L25" s="141" t="s">
        <v>16</v>
      </c>
      <c r="M25" s="141" t="s">
        <v>91</v>
      </c>
      <c r="N25" s="150">
        <v>45674.0</v>
      </c>
      <c r="O25" s="151" t="s">
        <v>672</v>
      </c>
      <c r="P25" s="152" t="s">
        <v>673</v>
      </c>
      <c r="Q25" s="150"/>
      <c r="R25" s="150"/>
      <c r="S25" s="153"/>
      <c r="T25" s="154"/>
      <c r="U25" s="153" t="s">
        <v>93</v>
      </c>
      <c r="V25" s="155"/>
      <c r="W25" s="156"/>
      <c r="X25" s="153" t="s">
        <v>93</v>
      </c>
      <c r="Y25" s="157"/>
      <c r="Z25" s="158"/>
      <c r="AA25" s="342"/>
      <c r="AB25" s="160"/>
      <c r="AC25" s="141">
        <v>1.0</v>
      </c>
      <c r="AD25" s="141"/>
      <c r="AE25" s="141">
        <v>10.0</v>
      </c>
      <c r="AF25" s="161"/>
      <c r="AG25" s="161"/>
      <c r="AH25" s="162">
        <f t="shared" si="5"/>
        <v>10</v>
      </c>
      <c r="AI25" s="163">
        <f t="shared" si="6"/>
        <v>0</v>
      </c>
      <c r="AJ25" s="189"/>
      <c r="AK25" s="150"/>
      <c r="AL25" s="150"/>
      <c r="AM25" s="164"/>
      <c r="AN25" s="165"/>
      <c r="AO25" s="141"/>
      <c r="AP25" s="166" t="s">
        <v>674</v>
      </c>
      <c r="AQ25" s="191" t="s">
        <v>675</v>
      </c>
      <c r="AR25" s="166" t="s">
        <v>676</v>
      </c>
      <c r="AS25" s="168">
        <v>42629.54</v>
      </c>
      <c r="AT25" s="168"/>
      <c r="AU25" s="169">
        <f>VLOOKUP(I25,DADOS!B:C,2,0)</f>
        <v>2300</v>
      </c>
      <c r="AV25" s="170">
        <f t="shared" si="7"/>
        <v>24800</v>
      </c>
      <c r="AW25" s="171"/>
      <c r="AX25" s="171"/>
      <c r="AY25" s="172"/>
      <c r="AZ25" s="173"/>
      <c r="BA25" s="174" t="s">
        <v>677</v>
      </c>
      <c r="BB25" s="175" t="s">
        <v>678</v>
      </c>
      <c r="BC25" s="176"/>
      <c r="BD25" s="176"/>
      <c r="BE25" s="176"/>
      <c r="BF25" s="176"/>
      <c r="BG25" s="176">
        <f t="shared" si="8"/>
        <v>0</v>
      </c>
      <c r="BH25" s="176"/>
      <c r="BI25" s="343" t="s">
        <v>674</v>
      </c>
      <c r="BJ25" s="344" t="s">
        <v>679</v>
      </c>
      <c r="BK25" s="179" t="s">
        <v>102</v>
      </c>
      <c r="BL25" s="180"/>
      <c r="BM25" s="180"/>
      <c r="BN25" s="181"/>
      <c r="BO25" s="130"/>
      <c r="BP25" s="32"/>
      <c r="BQ25" s="131"/>
      <c r="BR25" s="131"/>
      <c r="BS25" s="32"/>
      <c r="BT25" s="32"/>
    </row>
    <row r="26">
      <c r="A26" s="89">
        <v>9.102355682E9</v>
      </c>
      <c r="B26" s="99" t="s">
        <v>680</v>
      </c>
      <c r="C26" s="91" t="s">
        <v>93</v>
      </c>
      <c r="D26" s="91" t="s">
        <v>93</v>
      </c>
      <c r="E26" s="92" t="s">
        <v>681</v>
      </c>
      <c r="F26" s="93" t="s">
        <v>211</v>
      </c>
      <c r="G26" s="94" t="s">
        <v>416</v>
      </c>
      <c r="H26" s="95"/>
      <c r="I26" s="96" t="s">
        <v>682</v>
      </c>
      <c r="J26" s="97" t="str">
        <f>VLOOKUP(I26,DADOS!B:F,5,0)</f>
        <v>ETEMILSON OLIVEIRA SANTOS - NTS149530</v>
      </c>
      <c r="K26" s="98" t="s">
        <v>131</v>
      </c>
      <c r="L26" s="132" t="s">
        <v>4</v>
      </c>
      <c r="M26" s="99" t="s">
        <v>105</v>
      </c>
      <c r="N26" s="100"/>
      <c r="O26" s="101"/>
      <c r="P26" s="345">
        <v>46050.0</v>
      </c>
      <c r="Q26" s="346">
        <v>46050.0</v>
      </c>
      <c r="R26" s="100">
        <v>46057.0</v>
      </c>
      <c r="S26" s="254" t="s">
        <v>683</v>
      </c>
      <c r="T26" s="134">
        <v>46082.0</v>
      </c>
      <c r="U26" s="104" t="s">
        <v>93</v>
      </c>
      <c r="V26" s="255" t="s">
        <v>684</v>
      </c>
      <c r="W26" s="134">
        <v>46082.0</v>
      </c>
      <c r="X26" s="104" t="s">
        <v>93</v>
      </c>
      <c r="Y26" s="107"/>
      <c r="Z26" s="108"/>
      <c r="AA26" s="136" t="s">
        <v>685</v>
      </c>
      <c r="AB26" s="110" t="s">
        <v>686</v>
      </c>
      <c r="AC26" s="99">
        <v>1.0</v>
      </c>
      <c r="AD26" s="99">
        <v>0.0</v>
      </c>
      <c r="AE26" s="99">
        <v>10.0</v>
      </c>
      <c r="AF26" s="256">
        <v>10.0</v>
      </c>
      <c r="AG26" s="256">
        <v>9.0</v>
      </c>
      <c r="AH26" s="112">
        <f t="shared" si="5"/>
        <v>1</v>
      </c>
      <c r="AI26" s="113">
        <f t="shared" si="6"/>
        <v>0.9</v>
      </c>
      <c r="AJ26" s="114">
        <v>1.0</v>
      </c>
      <c r="AK26" s="100">
        <v>46055.0</v>
      </c>
      <c r="AL26" s="100">
        <v>46062.0</v>
      </c>
      <c r="AM26" s="115"/>
      <c r="AN26" s="116"/>
      <c r="AO26" s="99"/>
      <c r="AP26" s="117" t="s">
        <v>687</v>
      </c>
      <c r="AQ26" s="118" t="s">
        <v>688</v>
      </c>
      <c r="AR26" s="117" t="s">
        <v>689</v>
      </c>
      <c r="AS26" s="119">
        <v>78903.84</v>
      </c>
      <c r="AT26" s="119"/>
      <c r="AU26" s="120">
        <f>VLOOKUP(I26,DADOS!B:C,2,0)</f>
        <v>2349</v>
      </c>
      <c r="AV26" s="121">
        <f t="shared" si="7"/>
        <v>24800</v>
      </c>
      <c r="AW26" s="122">
        <v>0.063</v>
      </c>
      <c r="AX26" s="122"/>
      <c r="AY26" s="92"/>
      <c r="AZ26" s="123"/>
      <c r="BA26" s="124" t="s">
        <v>690</v>
      </c>
      <c r="BB26" s="125" t="s">
        <v>691</v>
      </c>
      <c r="BC26" s="126"/>
      <c r="BD26" s="126"/>
      <c r="BE26" s="126"/>
      <c r="BF26" s="126"/>
      <c r="BG26" s="126">
        <f t="shared" si="8"/>
        <v>0</v>
      </c>
      <c r="BH26" s="126"/>
      <c r="BI26" s="126" t="s">
        <v>692</v>
      </c>
      <c r="BJ26" s="128" t="s">
        <v>693</v>
      </c>
      <c r="BK26" s="105" t="s">
        <v>429</v>
      </c>
      <c r="BL26" s="129"/>
      <c r="BM26" s="129"/>
      <c r="BN26" s="36"/>
      <c r="BO26" s="130"/>
      <c r="BP26" s="32"/>
      <c r="BQ26" s="32"/>
      <c r="BR26" s="131"/>
      <c r="BS26" s="300"/>
      <c r="BT26" s="300"/>
    </row>
    <row r="27">
      <c r="A27" s="172">
        <v>9.102052168E9</v>
      </c>
      <c r="B27" s="141" t="s">
        <v>694</v>
      </c>
      <c r="C27" s="142"/>
      <c r="D27" s="142"/>
      <c r="E27" s="172" t="s">
        <v>695</v>
      </c>
      <c r="F27" s="144" t="s">
        <v>583</v>
      </c>
      <c r="G27" s="145" t="s">
        <v>124</v>
      </c>
      <c r="H27" s="146" t="s">
        <v>696</v>
      </c>
      <c r="I27" s="147" t="s">
        <v>584</v>
      </c>
      <c r="J27" s="148" t="str">
        <f>VLOOKUP(I27,DADOS!B:F,5,0)</f>
        <v>GILVANDO RIOS DA CRUZ - NTS025538</v>
      </c>
      <c r="K27" s="149"/>
      <c r="L27" s="141" t="s">
        <v>11</v>
      </c>
      <c r="M27" s="141" t="s">
        <v>91</v>
      </c>
      <c r="N27" s="150"/>
      <c r="O27" s="151"/>
      <c r="P27" s="347">
        <v>46051.0</v>
      </c>
      <c r="Q27" s="347">
        <v>46051.0</v>
      </c>
      <c r="R27" s="150"/>
      <c r="S27" s="153" t="s">
        <v>93</v>
      </c>
      <c r="T27" s="153"/>
      <c r="U27" s="153" t="s">
        <v>93</v>
      </c>
      <c r="V27" s="348" t="s">
        <v>697</v>
      </c>
      <c r="W27" s="156"/>
      <c r="X27" s="153" t="s">
        <v>93</v>
      </c>
      <c r="Y27" s="157"/>
      <c r="Z27" s="158"/>
      <c r="AA27" s="159"/>
      <c r="AB27" s="160" t="s">
        <v>698</v>
      </c>
      <c r="AC27" s="141">
        <v>1.0</v>
      </c>
      <c r="AD27" s="141"/>
      <c r="AE27" s="141">
        <v>4.0</v>
      </c>
      <c r="AF27" s="161"/>
      <c r="AG27" s="161"/>
      <c r="AH27" s="162">
        <f t="shared" si="5"/>
        <v>4</v>
      </c>
      <c r="AI27" s="163">
        <f t="shared" si="6"/>
        <v>0</v>
      </c>
      <c r="AJ27" s="189">
        <v>1.0</v>
      </c>
      <c r="AK27" s="150"/>
      <c r="AL27" s="150"/>
      <c r="AM27" s="164"/>
      <c r="AN27" s="165"/>
      <c r="AO27" s="141"/>
      <c r="AP27" s="166" t="s">
        <v>699</v>
      </c>
      <c r="AQ27" s="191" t="s">
        <v>700</v>
      </c>
      <c r="AR27" s="166" t="s">
        <v>701</v>
      </c>
      <c r="AS27" s="168">
        <v>24831.28</v>
      </c>
      <c r="AT27" s="168"/>
      <c r="AU27" s="169">
        <f>VLOOKUP(I27,DADOS!B:C,2,0)</f>
        <v>2381</v>
      </c>
      <c r="AV27" s="170">
        <f t="shared" si="7"/>
        <v>9920</v>
      </c>
      <c r="AW27" s="171">
        <v>0.25</v>
      </c>
      <c r="AX27" s="171"/>
      <c r="AY27" s="172"/>
      <c r="AZ27" s="173"/>
      <c r="BA27" s="174" t="s">
        <v>702</v>
      </c>
      <c r="BB27" s="175" t="s">
        <v>703</v>
      </c>
      <c r="BC27" s="176"/>
      <c r="BD27" s="176"/>
      <c r="BE27" s="176"/>
      <c r="BF27" s="176"/>
      <c r="BG27" s="177">
        <f t="shared" si="8"/>
        <v>0</v>
      </c>
      <c r="BH27" s="176"/>
      <c r="BI27" s="176" t="s">
        <v>699</v>
      </c>
      <c r="BJ27" s="178" t="s">
        <v>704</v>
      </c>
      <c r="BK27" s="179" t="s">
        <v>102</v>
      </c>
      <c r="BL27" s="180"/>
      <c r="BM27" s="180"/>
      <c r="BN27" s="181"/>
      <c r="BO27" s="130"/>
      <c r="BP27" s="131"/>
      <c r="BQ27" s="131"/>
      <c r="BR27" s="131"/>
      <c r="BS27" s="300"/>
      <c r="BT27" s="300"/>
    </row>
    <row r="28">
      <c r="A28" s="261">
        <v>9.102338765E9</v>
      </c>
      <c r="B28" s="262" t="s">
        <v>705</v>
      </c>
      <c r="C28" s="264" t="s">
        <v>93</v>
      </c>
      <c r="D28" s="264" t="s">
        <v>93</v>
      </c>
      <c r="E28" s="305" t="s">
        <v>706</v>
      </c>
      <c r="F28" s="305" t="s">
        <v>211</v>
      </c>
      <c r="G28" s="266" t="s">
        <v>495</v>
      </c>
      <c r="H28" s="302"/>
      <c r="I28" s="268" t="s">
        <v>682</v>
      </c>
      <c r="J28" s="269" t="str">
        <f>VLOOKUP(I28,DADOS!B:F,5,0)</f>
        <v>ETEMILSON OLIVEIRA SANTOS - NTS149530</v>
      </c>
      <c r="K28" s="270" t="s">
        <v>131</v>
      </c>
      <c r="L28" s="303" t="s">
        <v>4</v>
      </c>
      <c r="M28" s="262" t="s">
        <v>105</v>
      </c>
      <c r="N28" s="271"/>
      <c r="O28" s="272"/>
      <c r="P28" s="349">
        <v>46008.0</v>
      </c>
      <c r="Q28" s="263" t="s">
        <v>707</v>
      </c>
      <c r="R28" s="271">
        <v>46050.0</v>
      </c>
      <c r="S28" s="254" t="s">
        <v>708</v>
      </c>
      <c r="T28" s="274">
        <v>46082.0</v>
      </c>
      <c r="U28" s="275" t="s">
        <v>93</v>
      </c>
      <c r="V28" s="255" t="s">
        <v>709</v>
      </c>
      <c r="W28" s="274">
        <v>46082.0</v>
      </c>
      <c r="X28" s="275" t="s">
        <v>93</v>
      </c>
      <c r="Y28" s="276"/>
      <c r="Z28" s="277"/>
      <c r="AA28" s="278"/>
      <c r="AB28" s="304" t="s">
        <v>710</v>
      </c>
      <c r="AC28" s="262">
        <v>1.0</v>
      </c>
      <c r="AD28" s="262">
        <v>0.0</v>
      </c>
      <c r="AE28" s="262">
        <v>3.0</v>
      </c>
      <c r="AF28" s="280">
        <v>3.0</v>
      </c>
      <c r="AG28" s="280">
        <v>3.0</v>
      </c>
      <c r="AH28" s="350">
        <v>0.0</v>
      </c>
      <c r="AI28" s="282">
        <v>0.0</v>
      </c>
      <c r="AJ28" s="283">
        <v>1.0</v>
      </c>
      <c r="AK28" s="271">
        <v>46039.0</v>
      </c>
      <c r="AL28" s="271">
        <v>46057.0</v>
      </c>
      <c r="AM28" s="284"/>
      <c r="AN28" s="285">
        <v>46064.0</v>
      </c>
      <c r="AO28" s="262" t="s">
        <v>711</v>
      </c>
      <c r="AP28" s="286" t="s">
        <v>712</v>
      </c>
      <c r="AQ28" s="118" t="s">
        <v>713</v>
      </c>
      <c r="AR28" s="286" t="s">
        <v>714</v>
      </c>
      <c r="AS28" s="287">
        <v>39472.1</v>
      </c>
      <c r="AT28" s="287"/>
      <c r="AU28" s="288">
        <v>2381.0</v>
      </c>
      <c r="AV28" s="289">
        <v>7440.0</v>
      </c>
      <c r="AW28" s="290"/>
      <c r="AX28" s="290"/>
      <c r="AY28" s="265"/>
      <c r="AZ28" s="291"/>
      <c r="BA28" s="292" t="s">
        <v>715</v>
      </c>
      <c r="BB28" s="293" t="s">
        <v>716</v>
      </c>
      <c r="BC28" s="294"/>
      <c r="BD28" s="294"/>
      <c r="BE28" s="294"/>
      <c r="BF28" s="294"/>
      <c r="BG28" s="294">
        <v>0.0</v>
      </c>
      <c r="BH28" s="294"/>
      <c r="BI28" s="294" t="s">
        <v>712</v>
      </c>
      <c r="BJ28" s="295" t="s">
        <v>717</v>
      </c>
      <c r="BK28" s="296" t="s">
        <v>429</v>
      </c>
      <c r="BL28" s="297"/>
      <c r="BM28" s="297"/>
      <c r="BN28" s="298"/>
      <c r="BO28" s="299"/>
      <c r="BP28" s="300"/>
      <c r="BQ28" s="300"/>
      <c r="BR28" s="300"/>
      <c r="BS28" s="32"/>
      <c r="BT28" s="32"/>
    </row>
    <row r="29">
      <c r="A29" s="261">
        <v>9.10235958E9</v>
      </c>
      <c r="B29" s="262" t="s">
        <v>718</v>
      </c>
      <c r="C29" s="264" t="s">
        <v>93</v>
      </c>
      <c r="D29" s="264" t="s">
        <v>93</v>
      </c>
      <c r="E29" s="301" t="s">
        <v>719</v>
      </c>
      <c r="F29" s="305" t="s">
        <v>129</v>
      </c>
      <c r="G29" s="266" t="s">
        <v>495</v>
      </c>
      <c r="H29" s="302"/>
      <c r="I29" s="268" t="s">
        <v>412</v>
      </c>
      <c r="J29" s="269" t="s">
        <v>720</v>
      </c>
      <c r="K29" s="270" t="s">
        <v>131</v>
      </c>
      <c r="L29" s="303" t="s">
        <v>4</v>
      </c>
      <c r="M29" s="262" t="s">
        <v>105</v>
      </c>
      <c r="N29" s="271">
        <v>46008.0</v>
      </c>
      <c r="O29" s="272"/>
      <c r="P29" s="314">
        <v>46038.0</v>
      </c>
      <c r="Q29" s="351">
        <v>46041.0</v>
      </c>
      <c r="R29" s="271">
        <v>46050.0</v>
      </c>
      <c r="S29" s="254" t="s">
        <v>721</v>
      </c>
      <c r="T29" s="274">
        <v>46082.0</v>
      </c>
      <c r="U29" s="275" t="s">
        <v>93</v>
      </c>
      <c r="V29" s="255" t="s">
        <v>722</v>
      </c>
      <c r="W29" s="274">
        <v>46082.0</v>
      </c>
      <c r="X29" s="275" t="s">
        <v>93</v>
      </c>
      <c r="Y29" s="276"/>
      <c r="Z29" s="277"/>
      <c r="AA29" s="278"/>
      <c r="AB29" s="304" t="s">
        <v>723</v>
      </c>
      <c r="AC29" s="262">
        <v>1.0</v>
      </c>
      <c r="AD29" s="262">
        <v>0.0</v>
      </c>
      <c r="AE29" s="262">
        <v>12.0</v>
      </c>
      <c r="AF29" s="280">
        <v>12.0</v>
      </c>
      <c r="AG29" s="280">
        <v>12.0</v>
      </c>
      <c r="AH29" s="281">
        <f t="shared" ref="AH29:AH30" si="12">AE29-AG29</f>
        <v>0</v>
      </c>
      <c r="AI29" s="282">
        <v>0.0</v>
      </c>
      <c r="AJ29" s="283">
        <v>1.0</v>
      </c>
      <c r="AK29" s="271">
        <v>46028.0</v>
      </c>
      <c r="AL29" s="271">
        <v>46058.0</v>
      </c>
      <c r="AM29" s="284"/>
      <c r="AN29" s="285">
        <v>46056.0</v>
      </c>
      <c r="AO29" s="262" t="s">
        <v>724</v>
      </c>
      <c r="AP29" s="286" t="s">
        <v>725</v>
      </c>
      <c r="AQ29" s="118" t="s">
        <v>726</v>
      </c>
      <c r="AR29" s="286" t="s">
        <v>727</v>
      </c>
      <c r="AS29" s="287">
        <v>132499.92</v>
      </c>
      <c r="AT29" s="287"/>
      <c r="AU29" s="288">
        <v>2332.0</v>
      </c>
      <c r="AV29" s="289">
        <v>29760.0</v>
      </c>
      <c r="AW29" s="290">
        <v>0.11</v>
      </c>
      <c r="AX29" s="290"/>
      <c r="AY29" s="265"/>
      <c r="AZ29" s="291"/>
      <c r="BA29" s="292" t="s">
        <v>178</v>
      </c>
      <c r="BB29" s="293" t="s">
        <v>728</v>
      </c>
      <c r="BC29" s="294"/>
      <c r="BD29" s="294"/>
      <c r="BE29" s="294"/>
      <c r="BF29" s="294"/>
      <c r="BG29" s="294">
        <v>0.0</v>
      </c>
      <c r="BH29" s="294"/>
      <c r="BI29" s="294" t="s">
        <v>725</v>
      </c>
      <c r="BJ29" s="295" t="s">
        <v>729</v>
      </c>
      <c r="BK29" s="296" t="s">
        <v>429</v>
      </c>
      <c r="BL29" s="297"/>
      <c r="BM29" s="297"/>
      <c r="BN29" s="298"/>
      <c r="BO29" s="299" t="s">
        <v>730</v>
      </c>
      <c r="BP29" s="300"/>
      <c r="BQ29" s="300"/>
      <c r="BR29" s="300"/>
      <c r="BS29" s="32"/>
      <c r="BT29" s="32"/>
    </row>
    <row r="30">
      <c r="A30" s="261">
        <v>9.102355339E9</v>
      </c>
      <c r="B30" s="262" t="s">
        <v>731</v>
      </c>
      <c r="C30" s="264" t="s">
        <v>93</v>
      </c>
      <c r="D30" s="264" t="s">
        <v>93</v>
      </c>
      <c r="E30" s="301" t="s">
        <v>732</v>
      </c>
      <c r="F30" s="305" t="s">
        <v>283</v>
      </c>
      <c r="G30" s="266" t="s">
        <v>495</v>
      </c>
      <c r="H30" s="302"/>
      <c r="I30" s="268" t="s">
        <v>733</v>
      </c>
      <c r="J30" s="269" t="str">
        <f>VLOOKUP(I30,DADOS!B:F,5,0)</f>
        <v>ETEMILSON OLIVEIRA SANTOS - NTS149530</v>
      </c>
      <c r="K30" s="270" t="s">
        <v>734</v>
      </c>
      <c r="L30" s="303" t="s">
        <v>4</v>
      </c>
      <c r="M30" s="262" t="s">
        <v>105</v>
      </c>
      <c r="N30" s="352">
        <v>46041.0</v>
      </c>
      <c r="O30" s="272"/>
      <c r="P30" s="335">
        <v>46041.0</v>
      </c>
      <c r="Q30" s="273">
        <v>46042.0</v>
      </c>
      <c r="R30" s="271">
        <v>46052.0</v>
      </c>
      <c r="S30" s="275" t="s">
        <v>93</v>
      </c>
      <c r="T30" s="275" t="s">
        <v>93</v>
      </c>
      <c r="U30" s="275" t="s">
        <v>93</v>
      </c>
      <c r="V30" s="255" t="s">
        <v>735</v>
      </c>
      <c r="W30" s="333">
        <v>46082.0</v>
      </c>
      <c r="X30" s="275" t="s">
        <v>93</v>
      </c>
      <c r="Y30" s="276"/>
      <c r="Z30" s="277"/>
      <c r="AA30" s="278"/>
      <c r="AB30" s="304" t="s">
        <v>736</v>
      </c>
      <c r="AC30" s="262">
        <v>1.0</v>
      </c>
      <c r="AD30" s="262">
        <v>0.0</v>
      </c>
      <c r="AE30" s="262">
        <v>4.0</v>
      </c>
      <c r="AF30" s="280">
        <v>4.0</v>
      </c>
      <c r="AG30" s="280">
        <v>4.0</v>
      </c>
      <c r="AH30" s="281">
        <f t="shared" si="12"/>
        <v>0</v>
      </c>
      <c r="AI30" s="282">
        <f t="shared" ref="AI30:AI109" si="13">IF(OR(AE30=0, ISERR(AG30/AE30)), 0, AG30/AE30)</f>
        <v>1</v>
      </c>
      <c r="AJ30" s="283">
        <v>1.0</v>
      </c>
      <c r="AK30" s="271">
        <v>46055.0</v>
      </c>
      <c r="AL30" s="271">
        <v>46056.0</v>
      </c>
      <c r="AM30" s="284"/>
      <c r="AN30" s="285">
        <v>46055.0</v>
      </c>
      <c r="AO30" s="262" t="s">
        <v>737</v>
      </c>
      <c r="AP30" s="286" t="s">
        <v>738</v>
      </c>
      <c r="AQ30" s="118" t="s">
        <v>739</v>
      </c>
      <c r="AR30" s="286" t="s">
        <v>740</v>
      </c>
      <c r="AS30" s="287">
        <v>19010.72</v>
      </c>
      <c r="AT30" s="287"/>
      <c r="AU30" s="288">
        <f>VLOOKUP(I30,DADOS!B:C,2,0)</f>
        <v>2303</v>
      </c>
      <c r="AV30" s="289">
        <f t="shared" ref="AV30:AV109" si="14">AE30*2480</f>
        <v>9920</v>
      </c>
      <c r="AW30" s="290">
        <v>0.25</v>
      </c>
      <c r="AX30" s="290"/>
      <c r="AY30" s="265"/>
      <c r="AZ30" s="291"/>
      <c r="BA30" s="292" t="s">
        <v>337</v>
      </c>
      <c r="BB30" s="293" t="s">
        <v>741</v>
      </c>
      <c r="BC30" s="294"/>
      <c r="BD30" s="294"/>
      <c r="BE30" s="294"/>
      <c r="BF30" s="294"/>
      <c r="BG30" s="334">
        <f t="shared" ref="BG30:BG72" si="15">BD30*BF30</f>
        <v>0</v>
      </c>
      <c r="BH30" s="294"/>
      <c r="BI30" s="294" t="s">
        <v>738</v>
      </c>
      <c r="BJ30" s="295" t="s">
        <v>742</v>
      </c>
      <c r="BK30" s="296" t="s">
        <v>429</v>
      </c>
      <c r="BL30" s="297"/>
      <c r="BM30" s="297"/>
      <c r="BN30" s="298"/>
      <c r="BO30" s="299"/>
      <c r="BP30" s="300"/>
      <c r="BQ30" s="300"/>
      <c r="BR30" s="300"/>
      <c r="BS30" s="32"/>
      <c r="BT30" s="32"/>
    </row>
    <row r="31">
      <c r="A31" s="89">
        <v>9.102361504E9</v>
      </c>
      <c r="B31" s="99" t="s">
        <v>743</v>
      </c>
      <c r="C31" s="91" t="s">
        <v>93</v>
      </c>
      <c r="D31" s="91" t="s">
        <v>93</v>
      </c>
      <c r="E31" s="92" t="s">
        <v>744</v>
      </c>
      <c r="F31" s="92" t="s">
        <v>745</v>
      </c>
      <c r="G31" s="94" t="s">
        <v>416</v>
      </c>
      <c r="H31" s="184" t="s">
        <v>746</v>
      </c>
      <c r="I31" s="96" t="s">
        <v>512</v>
      </c>
      <c r="J31" s="97" t="str">
        <f>VLOOKUP(I31,DADOS!B:F,5,0)</f>
        <v>ETEMILSON OLIVEIRA SANTOS - NTS149530</v>
      </c>
      <c r="K31" s="98" t="s">
        <v>497</v>
      </c>
      <c r="L31" s="132" t="s">
        <v>4</v>
      </c>
      <c r="M31" s="99" t="s">
        <v>105</v>
      </c>
      <c r="N31" s="100">
        <v>46041.0</v>
      </c>
      <c r="O31" s="101" t="s">
        <v>747</v>
      </c>
      <c r="P31" s="252">
        <v>46042.0</v>
      </c>
      <c r="Q31" s="253">
        <v>46042.0</v>
      </c>
      <c r="R31" s="100">
        <v>46052.0</v>
      </c>
      <c r="S31" s="254" t="s">
        <v>748</v>
      </c>
      <c r="T31" s="134">
        <v>46082.0</v>
      </c>
      <c r="U31" s="104" t="s">
        <v>93</v>
      </c>
      <c r="V31" s="255" t="s">
        <v>749</v>
      </c>
      <c r="W31" s="134">
        <v>46082.0</v>
      </c>
      <c r="X31" s="353" t="s">
        <v>93</v>
      </c>
      <c r="Y31" s="107"/>
      <c r="Z31" s="108" t="s">
        <v>162</v>
      </c>
      <c r="AA31" s="136" t="s">
        <v>750</v>
      </c>
      <c r="AB31" s="110" t="s">
        <v>751</v>
      </c>
      <c r="AC31" s="99">
        <v>2.0</v>
      </c>
      <c r="AD31" s="99">
        <v>0.0</v>
      </c>
      <c r="AE31" s="99">
        <f>22+1</f>
        <v>23</v>
      </c>
      <c r="AF31" s="256">
        <v>15.0</v>
      </c>
      <c r="AG31" s="256">
        <v>15.0</v>
      </c>
      <c r="AH31" s="354">
        <v>0.0</v>
      </c>
      <c r="AI31" s="113">
        <f t="shared" si="13"/>
        <v>0.652173913</v>
      </c>
      <c r="AJ31" s="114">
        <v>1.0</v>
      </c>
      <c r="AK31" s="100">
        <v>46057.0</v>
      </c>
      <c r="AL31" s="100">
        <v>46070.0</v>
      </c>
      <c r="AM31" s="115"/>
      <c r="AN31" s="116"/>
      <c r="AO31" s="99"/>
      <c r="AP31" s="117" t="s">
        <v>752</v>
      </c>
      <c r="AQ31" s="118" t="s">
        <v>753</v>
      </c>
      <c r="AR31" s="117" t="s">
        <v>754</v>
      </c>
      <c r="AS31" s="119">
        <v>203331.72</v>
      </c>
      <c r="AT31" s="119"/>
      <c r="AU31" s="120">
        <f>VLOOKUP(I31,DADOS!B:C,2,0)</f>
        <v>2299</v>
      </c>
      <c r="AV31" s="121">
        <f t="shared" si="14"/>
        <v>57040</v>
      </c>
      <c r="AW31" s="122">
        <v>0.22</v>
      </c>
      <c r="AX31" s="122"/>
      <c r="AY31" s="92"/>
      <c r="AZ31" s="123"/>
      <c r="BA31" s="124" t="s">
        <v>755</v>
      </c>
      <c r="BB31" s="125" t="s">
        <v>756</v>
      </c>
      <c r="BC31" s="126"/>
      <c r="BD31" s="126"/>
      <c r="BE31" s="126"/>
      <c r="BF31" s="126"/>
      <c r="BG31" s="126">
        <f t="shared" si="15"/>
        <v>0</v>
      </c>
      <c r="BH31" s="126"/>
      <c r="BI31" s="126" t="s">
        <v>752</v>
      </c>
      <c r="BJ31" s="128" t="s">
        <v>757</v>
      </c>
      <c r="BK31" s="105" t="s">
        <v>429</v>
      </c>
      <c r="BL31" s="129"/>
      <c r="BM31" s="129"/>
      <c r="BN31" s="36"/>
      <c r="BO31" s="130"/>
      <c r="BP31" s="32"/>
      <c r="BQ31" s="32"/>
      <c r="BR31" s="131"/>
      <c r="BS31" s="32"/>
      <c r="BT31" s="32"/>
    </row>
    <row r="32">
      <c r="A32" s="261">
        <v>9.10236449E9</v>
      </c>
      <c r="B32" s="262" t="s">
        <v>758</v>
      </c>
      <c r="C32" s="264" t="s">
        <v>93</v>
      </c>
      <c r="D32" s="264" t="s">
        <v>93</v>
      </c>
      <c r="E32" s="265" t="s">
        <v>759</v>
      </c>
      <c r="F32" s="305" t="s">
        <v>745</v>
      </c>
      <c r="G32" s="266" t="s">
        <v>495</v>
      </c>
      <c r="H32" s="302"/>
      <c r="I32" s="268" t="s">
        <v>512</v>
      </c>
      <c r="J32" s="269" t="str">
        <f>VLOOKUP(I32,DADOS!B:F,5,0)</f>
        <v>ETEMILSON OLIVEIRA SANTOS - NTS149530</v>
      </c>
      <c r="K32" s="270" t="s">
        <v>497</v>
      </c>
      <c r="L32" s="303" t="s">
        <v>4</v>
      </c>
      <c r="M32" s="262" t="s">
        <v>105</v>
      </c>
      <c r="N32" s="271">
        <v>46041.0</v>
      </c>
      <c r="O32" s="272" t="s">
        <v>747</v>
      </c>
      <c r="P32" s="314">
        <v>46041.0</v>
      </c>
      <c r="Q32" s="273">
        <v>46049.0</v>
      </c>
      <c r="R32" s="271">
        <v>46057.0</v>
      </c>
      <c r="S32" s="275" t="s">
        <v>93</v>
      </c>
      <c r="T32" s="275" t="s">
        <v>93</v>
      </c>
      <c r="U32" s="275" t="s">
        <v>93</v>
      </c>
      <c r="V32" s="255" t="s">
        <v>760</v>
      </c>
      <c r="W32" s="333">
        <v>46082.0</v>
      </c>
      <c r="X32" s="275" t="s">
        <v>93</v>
      </c>
      <c r="Y32" s="276"/>
      <c r="Z32" s="277"/>
      <c r="AA32" s="278"/>
      <c r="AB32" s="304" t="s">
        <v>761</v>
      </c>
      <c r="AC32" s="262">
        <v>1.0</v>
      </c>
      <c r="AD32" s="262">
        <v>0.0</v>
      </c>
      <c r="AE32" s="262">
        <v>1.0</v>
      </c>
      <c r="AF32" s="280">
        <v>1.0</v>
      </c>
      <c r="AG32" s="280">
        <v>1.0</v>
      </c>
      <c r="AH32" s="281">
        <f t="shared" ref="AH32:AH85" si="16">AE32-AG32</f>
        <v>0</v>
      </c>
      <c r="AI32" s="282">
        <f t="shared" si="13"/>
        <v>1</v>
      </c>
      <c r="AJ32" s="283">
        <v>1.0</v>
      </c>
      <c r="AK32" s="271">
        <v>46055.0</v>
      </c>
      <c r="AL32" s="271">
        <v>46056.0</v>
      </c>
      <c r="AM32" s="284"/>
      <c r="AN32" s="285">
        <v>46056.0</v>
      </c>
      <c r="AO32" s="262" t="s">
        <v>762</v>
      </c>
      <c r="AP32" s="286" t="s">
        <v>763</v>
      </c>
      <c r="AQ32" s="118" t="s">
        <v>764</v>
      </c>
      <c r="AR32" s="286" t="s">
        <v>765</v>
      </c>
      <c r="AS32" s="287">
        <v>7792.49</v>
      </c>
      <c r="AT32" s="287"/>
      <c r="AU32" s="288">
        <f>VLOOKUP(I32,DADOS!B:C,2,0)</f>
        <v>2299</v>
      </c>
      <c r="AV32" s="289">
        <f t="shared" si="14"/>
        <v>2480</v>
      </c>
      <c r="AW32" s="290">
        <v>0.052</v>
      </c>
      <c r="AX32" s="290"/>
      <c r="AY32" s="265"/>
      <c r="AZ32" s="291"/>
      <c r="BA32" s="292" t="s">
        <v>755</v>
      </c>
      <c r="BB32" s="293" t="s">
        <v>766</v>
      </c>
      <c r="BC32" s="294"/>
      <c r="BD32" s="294"/>
      <c r="BE32" s="294"/>
      <c r="BF32" s="294"/>
      <c r="BG32" s="334">
        <f t="shared" si="15"/>
        <v>0</v>
      </c>
      <c r="BH32" s="294"/>
      <c r="BI32" s="294" t="s">
        <v>763</v>
      </c>
      <c r="BJ32" s="295" t="s">
        <v>767</v>
      </c>
      <c r="BK32" s="296" t="s">
        <v>429</v>
      </c>
      <c r="BL32" s="297"/>
      <c r="BM32" s="297"/>
      <c r="BN32" s="298"/>
      <c r="BO32" s="299"/>
      <c r="BP32" s="300"/>
      <c r="BQ32" s="300"/>
      <c r="BR32" s="300"/>
      <c r="BS32" s="32"/>
      <c r="BT32" s="32"/>
    </row>
    <row r="33">
      <c r="A33" s="261">
        <v>9.102354346E9</v>
      </c>
      <c r="B33" s="262" t="s">
        <v>768</v>
      </c>
      <c r="C33" s="355" t="s">
        <v>769</v>
      </c>
      <c r="D33" s="264" t="s">
        <v>770</v>
      </c>
      <c r="E33" s="265" t="s">
        <v>771</v>
      </c>
      <c r="F33" s="305" t="s">
        <v>772</v>
      </c>
      <c r="G33" s="266" t="s">
        <v>495</v>
      </c>
      <c r="H33" s="302"/>
      <c r="I33" s="268" t="s">
        <v>773</v>
      </c>
      <c r="J33" s="269" t="str">
        <f>VLOOKUP(I33,DADOS!B:F,5,0)</f>
        <v>GILVANDO RIOS DA CRUZ - NTS025538</v>
      </c>
      <c r="K33" s="270" t="s">
        <v>585</v>
      </c>
      <c r="L33" s="262" t="s">
        <v>11</v>
      </c>
      <c r="M33" s="262" t="s">
        <v>105</v>
      </c>
      <c r="N33" s="356">
        <v>46044.0</v>
      </c>
      <c r="O33" s="272" t="s">
        <v>774</v>
      </c>
      <c r="P33" s="252">
        <v>46044.0</v>
      </c>
      <c r="Q33" s="351">
        <v>46049.0</v>
      </c>
      <c r="R33" s="271">
        <v>46058.0</v>
      </c>
      <c r="S33" s="254" t="s">
        <v>775</v>
      </c>
      <c r="T33" s="274">
        <v>46082.0</v>
      </c>
      <c r="U33" s="275" t="s">
        <v>93</v>
      </c>
      <c r="V33" s="255" t="s">
        <v>776</v>
      </c>
      <c r="W33" s="274">
        <v>46082.0</v>
      </c>
      <c r="X33" s="275" t="s">
        <v>93</v>
      </c>
      <c r="Y33" s="276"/>
      <c r="Z33" s="277"/>
      <c r="AA33" s="324" t="s">
        <v>777</v>
      </c>
      <c r="AB33" s="304" t="s">
        <v>778</v>
      </c>
      <c r="AC33" s="262">
        <f>1+1</f>
        <v>2</v>
      </c>
      <c r="AD33" s="263">
        <v>2.0</v>
      </c>
      <c r="AE33" s="262">
        <v>10.0</v>
      </c>
      <c r="AF33" s="280">
        <v>10.0</v>
      </c>
      <c r="AG33" s="280">
        <f>6+3+1</f>
        <v>10</v>
      </c>
      <c r="AH33" s="281">
        <f t="shared" si="16"/>
        <v>0</v>
      </c>
      <c r="AI33" s="282">
        <f t="shared" si="13"/>
        <v>1</v>
      </c>
      <c r="AJ33" s="283">
        <v>1.0</v>
      </c>
      <c r="AK33" s="271">
        <v>46058.0</v>
      </c>
      <c r="AL33" s="271">
        <v>46066.0</v>
      </c>
      <c r="AM33" s="284"/>
      <c r="AN33" s="285">
        <v>46066.0</v>
      </c>
      <c r="AO33" s="262" t="s">
        <v>779</v>
      </c>
      <c r="AP33" s="286" t="s">
        <v>780</v>
      </c>
      <c r="AQ33" s="118" t="s">
        <v>781</v>
      </c>
      <c r="AR33" s="286" t="s">
        <v>782</v>
      </c>
      <c r="AS33" s="287">
        <v>75307.7</v>
      </c>
      <c r="AT33" s="287"/>
      <c r="AU33" s="288">
        <f>VLOOKUP(I33,DADOS!B:C,2,0)</f>
        <v>2305</v>
      </c>
      <c r="AV33" s="289">
        <f t="shared" si="14"/>
        <v>24800</v>
      </c>
      <c r="AW33" s="290"/>
      <c r="AX33" s="290"/>
      <c r="AY33" s="265"/>
      <c r="AZ33" s="291"/>
      <c r="BA33" s="292" t="s">
        <v>783</v>
      </c>
      <c r="BB33" s="293" t="s">
        <v>784</v>
      </c>
      <c r="BC33" s="294"/>
      <c r="BD33" s="294"/>
      <c r="BE33" s="294"/>
      <c r="BF33" s="294"/>
      <c r="BG33" s="294">
        <f t="shared" si="15"/>
        <v>0</v>
      </c>
      <c r="BH33" s="294"/>
      <c r="BI33" s="294" t="s">
        <v>785</v>
      </c>
      <c r="BJ33" s="295" t="s">
        <v>786</v>
      </c>
      <c r="BK33" s="296" t="s">
        <v>429</v>
      </c>
      <c r="BL33" s="297"/>
      <c r="BM33" s="297"/>
      <c r="BN33" s="298"/>
      <c r="BO33" s="299"/>
      <c r="BP33" s="300"/>
      <c r="BQ33" s="300"/>
      <c r="BR33" s="300"/>
      <c r="BS33" s="131"/>
      <c r="BT33" s="131"/>
    </row>
    <row r="34">
      <c r="A34" s="89">
        <v>9.102365044E9</v>
      </c>
      <c r="B34" s="99" t="s">
        <v>787</v>
      </c>
      <c r="C34" s="91" t="s">
        <v>93</v>
      </c>
      <c r="D34" s="91" t="s">
        <v>93</v>
      </c>
      <c r="E34" s="357" t="s">
        <v>788</v>
      </c>
      <c r="F34" s="93" t="s">
        <v>772</v>
      </c>
      <c r="G34" s="94" t="s">
        <v>416</v>
      </c>
      <c r="H34" s="95" t="s">
        <v>789</v>
      </c>
      <c r="I34" s="96" t="s">
        <v>773</v>
      </c>
      <c r="J34" s="97" t="str">
        <f>VLOOKUP(I34,DADOS!B:F,5,0)</f>
        <v>GILVANDO RIOS DA CRUZ - NTS025538</v>
      </c>
      <c r="K34" s="98" t="s">
        <v>585</v>
      </c>
      <c r="L34" s="132" t="s">
        <v>4</v>
      </c>
      <c r="M34" s="99" t="s">
        <v>105</v>
      </c>
      <c r="N34" s="100">
        <v>46044.0</v>
      </c>
      <c r="O34" s="101" t="s">
        <v>774</v>
      </c>
      <c r="P34" s="252">
        <v>46044.0</v>
      </c>
      <c r="Q34" s="358">
        <v>46049.0</v>
      </c>
      <c r="R34" s="100">
        <v>46058.0</v>
      </c>
      <c r="S34" s="104" t="s">
        <v>790</v>
      </c>
      <c r="T34" s="104" t="s">
        <v>93</v>
      </c>
      <c r="U34" s="254" t="s">
        <v>791</v>
      </c>
      <c r="V34" s="105" t="str">
        <f t="shared" ref="V34:W34" si="17">X34</f>
        <v>2026-20365</v>
      </c>
      <c r="W34" s="106">
        <f t="shared" si="17"/>
        <v>46079</v>
      </c>
      <c r="X34" s="260" t="s">
        <v>792</v>
      </c>
      <c r="Y34" s="107">
        <v>46079.0</v>
      </c>
      <c r="Z34" s="108" t="s">
        <v>448</v>
      </c>
      <c r="AA34" s="136" t="s">
        <v>793</v>
      </c>
      <c r="AB34" s="110" t="s">
        <v>794</v>
      </c>
      <c r="AC34" s="99">
        <v>1.0</v>
      </c>
      <c r="AD34" s="99">
        <v>0.0</v>
      </c>
      <c r="AE34" s="99">
        <v>10.0</v>
      </c>
      <c r="AF34" s="256">
        <v>7.0</v>
      </c>
      <c r="AG34" s="256">
        <v>7.0</v>
      </c>
      <c r="AH34" s="112">
        <f t="shared" si="16"/>
        <v>3</v>
      </c>
      <c r="AI34" s="113">
        <f t="shared" si="13"/>
        <v>0.7</v>
      </c>
      <c r="AJ34" s="114">
        <v>1.0</v>
      </c>
      <c r="AK34" s="100">
        <v>46057.0</v>
      </c>
      <c r="AL34" s="100">
        <v>46063.0</v>
      </c>
      <c r="AM34" s="115"/>
      <c r="AN34" s="116"/>
      <c r="AO34" s="99"/>
      <c r="AP34" s="117" t="s">
        <v>795</v>
      </c>
      <c r="AQ34" s="118" t="s">
        <v>796</v>
      </c>
      <c r="AR34" s="117" t="s">
        <v>797</v>
      </c>
      <c r="AS34" s="119">
        <v>127629.54</v>
      </c>
      <c r="AT34" s="119"/>
      <c r="AU34" s="120">
        <f>VLOOKUP(I34,DADOS!B:C,2,0)</f>
        <v>2305</v>
      </c>
      <c r="AV34" s="121">
        <f t="shared" si="14"/>
        <v>24800</v>
      </c>
      <c r="AW34" s="122"/>
      <c r="AX34" s="122"/>
      <c r="AY34" s="92"/>
      <c r="AZ34" s="123"/>
      <c r="BA34" s="124" t="s">
        <v>592</v>
      </c>
      <c r="BB34" s="125" t="s">
        <v>798</v>
      </c>
      <c r="BC34" s="126"/>
      <c r="BD34" s="126"/>
      <c r="BE34" s="126"/>
      <c r="BF34" s="126"/>
      <c r="BG34" s="126">
        <f t="shared" si="15"/>
        <v>0</v>
      </c>
      <c r="BH34" s="126"/>
      <c r="BI34" s="126" t="s">
        <v>799</v>
      </c>
      <c r="BJ34" s="128" t="s">
        <v>800</v>
      </c>
      <c r="BK34" s="105" t="s">
        <v>429</v>
      </c>
      <c r="BL34" s="129"/>
      <c r="BM34" s="129"/>
      <c r="BN34" s="36"/>
      <c r="BO34" s="130"/>
      <c r="BP34" s="32"/>
      <c r="BQ34" s="32"/>
      <c r="BR34" s="131"/>
      <c r="BS34" s="32"/>
      <c r="BT34" s="32"/>
    </row>
    <row r="35">
      <c r="A35" s="89">
        <v>9.101979776E9</v>
      </c>
      <c r="B35" s="99" t="s">
        <v>801</v>
      </c>
      <c r="C35" s="91" t="s">
        <v>802</v>
      </c>
      <c r="D35" s="91" t="s">
        <v>803</v>
      </c>
      <c r="E35" s="92" t="s">
        <v>804</v>
      </c>
      <c r="F35" s="93" t="s">
        <v>296</v>
      </c>
      <c r="G35" s="94" t="s">
        <v>416</v>
      </c>
      <c r="H35" s="95"/>
      <c r="I35" s="96" t="s">
        <v>805</v>
      </c>
      <c r="J35" s="97" t="str">
        <f>VLOOKUP(I35,DADOS!B:F,5,0)</f>
        <v>ETEMILSON OLIVEIRA SANTOS - NTS149530</v>
      </c>
      <c r="K35" s="98" t="s">
        <v>734</v>
      </c>
      <c r="L35" s="99" t="s">
        <v>11</v>
      </c>
      <c r="M35" s="99" t="s">
        <v>91</v>
      </c>
      <c r="N35" s="100">
        <v>46041.0</v>
      </c>
      <c r="O35" s="101" t="s">
        <v>806</v>
      </c>
      <c r="P35" s="359">
        <v>46041.0</v>
      </c>
      <c r="Q35" s="358">
        <v>46041.0</v>
      </c>
      <c r="R35" s="100">
        <v>46050.0</v>
      </c>
      <c r="S35" s="254" t="s">
        <v>807</v>
      </c>
      <c r="T35" s="134">
        <v>46082.0</v>
      </c>
      <c r="U35" s="254" t="s">
        <v>808</v>
      </c>
      <c r="V35" s="255" t="s">
        <v>809</v>
      </c>
      <c r="W35" s="134">
        <v>46082.0</v>
      </c>
      <c r="X35" s="104" t="s">
        <v>93</v>
      </c>
      <c r="Y35" s="107"/>
      <c r="Z35" s="108"/>
      <c r="AA35" s="109"/>
      <c r="AB35" s="110" t="s">
        <v>810</v>
      </c>
      <c r="AC35" s="99">
        <v>1.0</v>
      </c>
      <c r="AD35" s="99">
        <v>1.0</v>
      </c>
      <c r="AE35" s="99">
        <v>12.0</v>
      </c>
      <c r="AF35" s="256">
        <v>12.0</v>
      </c>
      <c r="AG35" s="256">
        <v>11.0</v>
      </c>
      <c r="AH35" s="112">
        <f t="shared" si="16"/>
        <v>1</v>
      </c>
      <c r="AI35" s="113">
        <f t="shared" si="13"/>
        <v>0.9166666667</v>
      </c>
      <c r="AJ35" s="114">
        <v>1.0</v>
      </c>
      <c r="AK35" s="100">
        <v>46076.0</v>
      </c>
      <c r="AL35" s="100">
        <v>46080.0</v>
      </c>
      <c r="AM35" s="115"/>
      <c r="AN35" s="116"/>
      <c r="AO35" s="99"/>
      <c r="AP35" s="117" t="s">
        <v>811</v>
      </c>
      <c r="AQ35" s="118" t="s">
        <v>812</v>
      </c>
      <c r="AR35" s="117" t="s">
        <v>813</v>
      </c>
      <c r="AS35" s="119">
        <v>95755.37</v>
      </c>
      <c r="AT35" s="119"/>
      <c r="AU35" s="120">
        <f>VLOOKUP(I35,DADOS!B:C,2,0)</f>
        <v>2302</v>
      </c>
      <c r="AV35" s="121">
        <f t="shared" si="14"/>
        <v>29760</v>
      </c>
      <c r="AW35" s="122">
        <v>0.062</v>
      </c>
      <c r="AX35" s="122"/>
      <c r="AY35" s="92"/>
      <c r="AZ35" s="123"/>
      <c r="BA35" s="124" t="s">
        <v>300</v>
      </c>
      <c r="BB35" s="125" t="s">
        <v>814</v>
      </c>
      <c r="BC35" s="126"/>
      <c r="BD35" s="126"/>
      <c r="BE35" s="126"/>
      <c r="BF35" s="126"/>
      <c r="BG35" s="126">
        <f t="shared" si="15"/>
        <v>0</v>
      </c>
      <c r="BH35" s="126"/>
      <c r="BI35" s="126" t="s">
        <v>811</v>
      </c>
      <c r="BJ35" s="128" t="s">
        <v>815</v>
      </c>
      <c r="BK35" s="105" t="s">
        <v>429</v>
      </c>
      <c r="BL35" s="129"/>
      <c r="BM35" s="129"/>
      <c r="BN35" s="36"/>
      <c r="BO35" s="130"/>
      <c r="BP35" s="32"/>
      <c r="BQ35" s="32"/>
      <c r="BR35" s="131"/>
      <c r="BS35" s="300"/>
      <c r="BT35" s="300"/>
    </row>
    <row r="36">
      <c r="A36" s="89">
        <v>9.102362248E9</v>
      </c>
      <c r="B36" s="99" t="s">
        <v>816</v>
      </c>
      <c r="C36" s="91" t="s">
        <v>93</v>
      </c>
      <c r="D36" s="91" t="s">
        <v>93</v>
      </c>
      <c r="E36" s="92" t="s">
        <v>817</v>
      </c>
      <c r="F36" s="93" t="s">
        <v>296</v>
      </c>
      <c r="G36" s="94" t="s">
        <v>416</v>
      </c>
      <c r="H36" s="95"/>
      <c r="I36" s="96" t="s">
        <v>805</v>
      </c>
      <c r="J36" s="97" t="str">
        <f>VLOOKUP(I36,DADOS!B:F,5,0)</f>
        <v>ETEMILSON OLIVEIRA SANTOS - NTS149530</v>
      </c>
      <c r="K36" s="98" t="s">
        <v>734</v>
      </c>
      <c r="L36" s="132" t="s">
        <v>4</v>
      </c>
      <c r="M36" s="99" t="s">
        <v>105</v>
      </c>
      <c r="N36" s="100">
        <v>46039.0</v>
      </c>
      <c r="O36" s="101" t="s">
        <v>806</v>
      </c>
      <c r="P36" s="252">
        <v>46038.0</v>
      </c>
      <c r="Q36" s="358">
        <v>46041.0</v>
      </c>
      <c r="R36" s="100">
        <v>46050.0</v>
      </c>
      <c r="S36" s="254" t="s">
        <v>818</v>
      </c>
      <c r="T36" s="134">
        <v>46082.0</v>
      </c>
      <c r="U36" s="254" t="s">
        <v>819</v>
      </c>
      <c r="V36" s="360" t="s">
        <v>820</v>
      </c>
      <c r="W36" s="134">
        <v>46082.0</v>
      </c>
      <c r="X36" s="104" t="s">
        <v>93</v>
      </c>
      <c r="Y36" s="107"/>
      <c r="Z36" s="108"/>
      <c r="AA36" s="136" t="s">
        <v>821</v>
      </c>
      <c r="AB36" s="110" t="s">
        <v>822</v>
      </c>
      <c r="AC36" s="99">
        <f>1+1</f>
        <v>2</v>
      </c>
      <c r="AD36" s="99">
        <v>0.0</v>
      </c>
      <c r="AE36" s="99">
        <f>16+2</f>
        <v>18</v>
      </c>
      <c r="AF36" s="256">
        <v>18.0</v>
      </c>
      <c r="AG36" s="256">
        <v>18.0</v>
      </c>
      <c r="AH36" s="112">
        <f t="shared" si="16"/>
        <v>0</v>
      </c>
      <c r="AI36" s="113">
        <f t="shared" si="13"/>
        <v>1</v>
      </c>
      <c r="AJ36" s="114">
        <v>1.0</v>
      </c>
      <c r="AK36" s="100">
        <v>46071.0</v>
      </c>
      <c r="AL36" s="100">
        <v>46077.0</v>
      </c>
      <c r="AM36" s="115"/>
      <c r="AN36" s="116"/>
      <c r="AO36" s="99"/>
      <c r="AP36" s="117" t="s">
        <v>823</v>
      </c>
      <c r="AQ36" s="118" t="s">
        <v>824</v>
      </c>
      <c r="AR36" s="117" t="s">
        <v>825</v>
      </c>
      <c r="AS36" s="119">
        <v>113323.63</v>
      </c>
      <c r="AT36" s="119"/>
      <c r="AU36" s="120">
        <f>VLOOKUP(I36,DADOS!B:C,2,0)</f>
        <v>2302</v>
      </c>
      <c r="AV36" s="121">
        <f t="shared" si="14"/>
        <v>44640</v>
      </c>
      <c r="AW36" s="122">
        <v>0.052</v>
      </c>
      <c r="AX36" s="122"/>
      <c r="AY36" s="92"/>
      <c r="AZ36" s="123"/>
      <c r="BA36" s="124" t="s">
        <v>300</v>
      </c>
      <c r="BB36" s="125" t="s">
        <v>826</v>
      </c>
      <c r="BC36" s="126"/>
      <c r="BD36" s="126"/>
      <c r="BE36" s="126"/>
      <c r="BF36" s="126"/>
      <c r="BG36" s="126">
        <f t="shared" si="15"/>
        <v>0</v>
      </c>
      <c r="BH36" s="126"/>
      <c r="BI36" s="126" t="s">
        <v>823</v>
      </c>
      <c r="BJ36" s="128" t="s">
        <v>827</v>
      </c>
      <c r="BK36" s="105" t="s">
        <v>429</v>
      </c>
      <c r="BL36" s="129"/>
      <c r="BM36" s="129"/>
      <c r="BN36" s="36"/>
      <c r="BO36" s="130"/>
      <c r="BP36" s="32"/>
      <c r="BQ36" s="32"/>
      <c r="BR36" s="131"/>
      <c r="BS36" s="32"/>
      <c r="BT36" s="32"/>
    </row>
    <row r="37">
      <c r="A37" s="89">
        <v>9.102358822E9</v>
      </c>
      <c r="B37" s="99" t="s">
        <v>828</v>
      </c>
      <c r="C37" s="91" t="s">
        <v>93</v>
      </c>
      <c r="D37" s="91" t="s">
        <v>93</v>
      </c>
      <c r="E37" s="361" t="s">
        <v>829</v>
      </c>
      <c r="F37" s="93" t="s">
        <v>296</v>
      </c>
      <c r="G37" s="94" t="s">
        <v>416</v>
      </c>
      <c r="H37" s="95"/>
      <c r="I37" s="96" t="s">
        <v>805</v>
      </c>
      <c r="J37" s="97" t="str">
        <f>VLOOKUP(I37,DADOS!B:F,5,0)</f>
        <v>ETEMILSON OLIVEIRA SANTOS - NTS149530</v>
      </c>
      <c r="K37" s="98" t="s">
        <v>734</v>
      </c>
      <c r="L37" s="132" t="s">
        <v>4</v>
      </c>
      <c r="M37" s="99" t="s">
        <v>105</v>
      </c>
      <c r="N37" s="100">
        <v>46041.0</v>
      </c>
      <c r="O37" s="101" t="s">
        <v>806</v>
      </c>
      <c r="P37" s="252">
        <v>46041.0</v>
      </c>
      <c r="Q37" s="358">
        <v>46041.0</v>
      </c>
      <c r="R37" s="100">
        <v>46050.0</v>
      </c>
      <c r="S37" s="254" t="s">
        <v>830</v>
      </c>
      <c r="T37" s="134">
        <v>46082.0</v>
      </c>
      <c r="U37" s="104" t="s">
        <v>93</v>
      </c>
      <c r="V37" s="255" t="s">
        <v>831</v>
      </c>
      <c r="W37" s="134">
        <v>46082.0</v>
      </c>
      <c r="X37" s="104" t="s">
        <v>93</v>
      </c>
      <c r="Y37" s="107"/>
      <c r="Z37" s="108"/>
      <c r="AA37" s="136" t="s">
        <v>832</v>
      </c>
      <c r="AB37" s="135" t="s">
        <v>833</v>
      </c>
      <c r="AC37" s="99">
        <v>4.0</v>
      </c>
      <c r="AD37" s="99">
        <v>0.0</v>
      </c>
      <c r="AE37" s="99">
        <v>29.0</v>
      </c>
      <c r="AF37" s="256">
        <f>20+8</f>
        <v>28</v>
      </c>
      <c r="AG37" s="256">
        <f>14+6</f>
        <v>20</v>
      </c>
      <c r="AH37" s="112">
        <f t="shared" si="16"/>
        <v>9</v>
      </c>
      <c r="AI37" s="113">
        <f t="shared" si="13"/>
        <v>0.6896551724</v>
      </c>
      <c r="AJ37" s="114">
        <v>1.0</v>
      </c>
      <c r="AK37" s="100">
        <v>46055.0</v>
      </c>
      <c r="AL37" s="100">
        <v>46071.0</v>
      </c>
      <c r="AM37" s="115"/>
      <c r="AN37" s="116"/>
      <c r="AO37" s="99"/>
      <c r="AP37" s="117" t="s">
        <v>834</v>
      </c>
      <c r="AQ37" s="118" t="s">
        <v>835</v>
      </c>
      <c r="AR37" s="117" t="s">
        <v>836</v>
      </c>
      <c r="AS37" s="119">
        <v>232509.01</v>
      </c>
      <c r="AT37" s="119"/>
      <c r="AU37" s="120">
        <f>VLOOKUP(I37,DADOS!B:C,2,0)</f>
        <v>2302</v>
      </c>
      <c r="AV37" s="121">
        <f t="shared" si="14"/>
        <v>71920</v>
      </c>
      <c r="AW37" s="122">
        <v>0.552</v>
      </c>
      <c r="AX37" s="122"/>
      <c r="AY37" s="92"/>
      <c r="AZ37" s="123"/>
      <c r="BA37" s="124" t="s">
        <v>300</v>
      </c>
      <c r="BB37" s="125" t="s">
        <v>837</v>
      </c>
      <c r="BC37" s="126"/>
      <c r="BD37" s="126"/>
      <c r="BE37" s="126"/>
      <c r="BF37" s="126"/>
      <c r="BG37" s="126">
        <f t="shared" si="15"/>
        <v>0</v>
      </c>
      <c r="BH37" s="126"/>
      <c r="BI37" s="126" t="s">
        <v>834</v>
      </c>
      <c r="BJ37" s="128" t="s">
        <v>838</v>
      </c>
      <c r="BK37" s="105" t="s">
        <v>429</v>
      </c>
      <c r="BL37" s="129"/>
      <c r="BM37" s="129"/>
      <c r="BN37" s="36"/>
      <c r="BO37" s="194"/>
      <c r="BP37" s="32"/>
      <c r="BQ37" s="32"/>
      <c r="BR37" s="32"/>
      <c r="BS37" s="32"/>
      <c r="BT37" s="32"/>
    </row>
    <row r="38">
      <c r="A38" s="89">
        <v>9.102359846E9</v>
      </c>
      <c r="B38" s="99" t="s">
        <v>839</v>
      </c>
      <c r="C38" s="91" t="s">
        <v>93</v>
      </c>
      <c r="D38" s="91" t="s">
        <v>93</v>
      </c>
      <c r="E38" s="92" t="s">
        <v>840</v>
      </c>
      <c r="F38" s="93" t="s">
        <v>296</v>
      </c>
      <c r="G38" s="94" t="s">
        <v>458</v>
      </c>
      <c r="H38" s="95"/>
      <c r="I38" s="96" t="s">
        <v>805</v>
      </c>
      <c r="J38" s="97" t="str">
        <f>VLOOKUP(I38,DADOS!B:F,5,0)</f>
        <v>ETEMILSON OLIVEIRA SANTOS - NTS149530</v>
      </c>
      <c r="K38" s="98" t="s">
        <v>734</v>
      </c>
      <c r="L38" s="132" t="s">
        <v>4</v>
      </c>
      <c r="M38" s="99" t="s">
        <v>105</v>
      </c>
      <c r="N38" s="100">
        <v>46039.0</v>
      </c>
      <c r="O38" s="101" t="s">
        <v>806</v>
      </c>
      <c r="P38" s="359">
        <v>46041.0</v>
      </c>
      <c r="Q38" s="358">
        <v>46041.0</v>
      </c>
      <c r="R38" s="100">
        <v>46050.0</v>
      </c>
      <c r="S38" s="254" t="s">
        <v>841</v>
      </c>
      <c r="T38" s="134">
        <v>46082.0</v>
      </c>
      <c r="U38" s="104" t="s">
        <v>93</v>
      </c>
      <c r="V38" s="255" t="s">
        <v>842</v>
      </c>
      <c r="W38" s="134">
        <v>46082.0</v>
      </c>
      <c r="X38" s="104" t="s">
        <v>93</v>
      </c>
      <c r="Y38" s="107"/>
      <c r="Z38" s="108"/>
      <c r="AA38" s="109"/>
      <c r="AB38" s="110" t="s">
        <v>843</v>
      </c>
      <c r="AC38" s="99">
        <v>1.0</v>
      </c>
      <c r="AD38" s="99">
        <v>0.0</v>
      </c>
      <c r="AE38" s="99">
        <v>2.0</v>
      </c>
      <c r="AF38" s="111"/>
      <c r="AG38" s="111"/>
      <c r="AH38" s="112">
        <f t="shared" si="16"/>
        <v>2</v>
      </c>
      <c r="AI38" s="113">
        <f t="shared" si="13"/>
        <v>0</v>
      </c>
      <c r="AJ38" s="114">
        <v>1.0</v>
      </c>
      <c r="AK38" s="100">
        <v>46059.0</v>
      </c>
      <c r="AL38" s="100">
        <v>46059.0</v>
      </c>
      <c r="AM38" s="115"/>
      <c r="AN38" s="116"/>
      <c r="AO38" s="99"/>
      <c r="AP38" s="117" t="s">
        <v>844</v>
      </c>
      <c r="AQ38" s="118" t="s">
        <v>845</v>
      </c>
      <c r="AR38" s="117" t="s">
        <v>846</v>
      </c>
      <c r="AS38" s="119">
        <v>27635.8</v>
      </c>
      <c r="AT38" s="119"/>
      <c r="AU38" s="120">
        <f>VLOOKUP(I38,DADOS!B:C,2,0)</f>
        <v>2302</v>
      </c>
      <c r="AV38" s="121">
        <f t="shared" si="14"/>
        <v>4960</v>
      </c>
      <c r="AW38" s="122">
        <v>0.062</v>
      </c>
      <c r="AX38" s="122"/>
      <c r="AY38" s="92"/>
      <c r="AZ38" s="123"/>
      <c r="BA38" s="124" t="s">
        <v>300</v>
      </c>
      <c r="BB38" s="125" t="s">
        <v>837</v>
      </c>
      <c r="BC38" s="126"/>
      <c r="BD38" s="126"/>
      <c r="BE38" s="126"/>
      <c r="BF38" s="126"/>
      <c r="BG38" s="126">
        <f t="shared" si="15"/>
        <v>0</v>
      </c>
      <c r="BH38" s="126"/>
      <c r="BI38" s="126" t="s">
        <v>844</v>
      </c>
      <c r="BJ38" s="128" t="s">
        <v>847</v>
      </c>
      <c r="BK38" s="105" t="s">
        <v>429</v>
      </c>
      <c r="BL38" s="129"/>
      <c r="BM38" s="129"/>
      <c r="BN38" s="36"/>
      <c r="BO38" s="130"/>
      <c r="BP38" s="32"/>
      <c r="BQ38" s="32"/>
      <c r="BR38" s="131"/>
      <c r="BS38" s="32"/>
      <c r="BT38" s="32"/>
    </row>
    <row r="39">
      <c r="A39" s="89">
        <v>9.102359868E9</v>
      </c>
      <c r="B39" s="99" t="s">
        <v>848</v>
      </c>
      <c r="C39" s="91" t="s">
        <v>93</v>
      </c>
      <c r="D39" s="91" t="s">
        <v>93</v>
      </c>
      <c r="E39" s="361" t="s">
        <v>849</v>
      </c>
      <c r="F39" s="93" t="s">
        <v>296</v>
      </c>
      <c r="G39" s="94" t="s">
        <v>416</v>
      </c>
      <c r="H39" s="95"/>
      <c r="I39" s="96" t="s">
        <v>805</v>
      </c>
      <c r="J39" s="97" t="str">
        <f>VLOOKUP(I39,DADOS!B:F,5,0)</f>
        <v>ETEMILSON OLIVEIRA SANTOS - NTS149530</v>
      </c>
      <c r="K39" s="98" t="s">
        <v>734</v>
      </c>
      <c r="L39" s="132" t="s">
        <v>4</v>
      </c>
      <c r="M39" s="99" t="s">
        <v>105</v>
      </c>
      <c r="N39" s="100">
        <v>46038.0</v>
      </c>
      <c r="O39" s="101" t="s">
        <v>806</v>
      </c>
      <c r="P39" s="359">
        <v>46038.0</v>
      </c>
      <c r="Q39" s="358">
        <v>46041.0</v>
      </c>
      <c r="R39" s="100">
        <v>46050.0</v>
      </c>
      <c r="S39" s="254" t="s">
        <v>850</v>
      </c>
      <c r="T39" s="134">
        <v>46082.0</v>
      </c>
      <c r="U39" s="104" t="s">
        <v>93</v>
      </c>
      <c r="V39" s="255" t="s">
        <v>851</v>
      </c>
      <c r="W39" s="134">
        <v>46082.0</v>
      </c>
      <c r="X39" s="104" t="s">
        <v>93</v>
      </c>
      <c r="Y39" s="107"/>
      <c r="Z39" s="108"/>
      <c r="AA39" s="136" t="s">
        <v>852</v>
      </c>
      <c r="AB39" s="110" t="s">
        <v>853</v>
      </c>
      <c r="AC39" s="99">
        <v>1.0</v>
      </c>
      <c r="AD39" s="99">
        <v>0.0</v>
      </c>
      <c r="AE39" s="99">
        <v>25.0</v>
      </c>
      <c r="AF39" s="256">
        <f>6+8+11</f>
        <v>25</v>
      </c>
      <c r="AG39" s="256">
        <f>6+9+6</f>
        <v>21</v>
      </c>
      <c r="AH39" s="112">
        <f t="shared" si="16"/>
        <v>4</v>
      </c>
      <c r="AI39" s="113">
        <f t="shared" si="13"/>
        <v>0.84</v>
      </c>
      <c r="AJ39" s="114">
        <v>1.0</v>
      </c>
      <c r="AK39" s="100">
        <v>46055.0</v>
      </c>
      <c r="AL39" s="100">
        <v>46066.0</v>
      </c>
      <c r="AM39" s="115"/>
      <c r="AN39" s="116"/>
      <c r="AO39" s="99"/>
      <c r="AP39" s="117" t="s">
        <v>854</v>
      </c>
      <c r="AQ39" s="118" t="s">
        <v>855</v>
      </c>
      <c r="AR39" s="117" t="s">
        <v>856</v>
      </c>
      <c r="AS39" s="119">
        <v>171148.95</v>
      </c>
      <c r="AT39" s="119"/>
      <c r="AU39" s="120">
        <f>VLOOKUP(I39,DADOS!B:C,2,0)</f>
        <v>2302</v>
      </c>
      <c r="AV39" s="121">
        <f t="shared" si="14"/>
        <v>62000</v>
      </c>
      <c r="AW39" s="122">
        <v>0.219</v>
      </c>
      <c r="AX39" s="122"/>
      <c r="AY39" s="92"/>
      <c r="AZ39" s="123"/>
      <c r="BA39" s="124" t="s">
        <v>300</v>
      </c>
      <c r="BB39" s="125" t="s">
        <v>857</v>
      </c>
      <c r="BC39" s="126"/>
      <c r="BD39" s="126"/>
      <c r="BE39" s="126"/>
      <c r="BF39" s="126"/>
      <c r="BG39" s="126">
        <f t="shared" si="15"/>
        <v>0</v>
      </c>
      <c r="BH39" s="126"/>
      <c r="BI39" s="126" t="s">
        <v>854</v>
      </c>
      <c r="BJ39" s="128" t="s">
        <v>858</v>
      </c>
      <c r="BK39" s="105" t="s">
        <v>429</v>
      </c>
      <c r="BL39" s="129"/>
      <c r="BM39" s="129"/>
      <c r="BN39" s="36"/>
      <c r="BO39" s="130"/>
      <c r="BP39" s="32"/>
      <c r="BQ39" s="32"/>
      <c r="BR39" s="131"/>
      <c r="BS39" s="32"/>
      <c r="BT39" s="32"/>
    </row>
    <row r="40" ht="14.25" customHeight="1">
      <c r="A40" s="261">
        <v>9.102347454E9</v>
      </c>
      <c r="B40" s="262" t="s">
        <v>859</v>
      </c>
      <c r="C40" s="264" t="s">
        <v>93</v>
      </c>
      <c r="D40" s="264" t="s">
        <v>93</v>
      </c>
      <c r="E40" s="265" t="s">
        <v>860</v>
      </c>
      <c r="F40" s="305" t="s">
        <v>861</v>
      </c>
      <c r="G40" s="266" t="s">
        <v>495</v>
      </c>
      <c r="H40" s="302"/>
      <c r="I40" s="268" t="s">
        <v>584</v>
      </c>
      <c r="J40" s="269" t="str">
        <f>VLOOKUP(I40,DADOS!B:F,5,0)</f>
        <v>GILVANDO RIOS DA CRUZ - NTS025538</v>
      </c>
      <c r="K40" s="270" t="s">
        <v>413</v>
      </c>
      <c r="L40" s="303" t="s">
        <v>4</v>
      </c>
      <c r="M40" s="262" t="s">
        <v>105</v>
      </c>
      <c r="N40" s="271"/>
      <c r="O40" s="272"/>
      <c r="P40" s="359">
        <v>46043.0</v>
      </c>
      <c r="Q40" s="351">
        <v>46049.0</v>
      </c>
      <c r="R40" s="271">
        <v>46058.0</v>
      </c>
      <c r="S40" s="275" t="s">
        <v>93</v>
      </c>
      <c r="T40" s="275" t="s">
        <v>93</v>
      </c>
      <c r="U40" s="275" t="s">
        <v>93</v>
      </c>
      <c r="V40" s="255" t="s">
        <v>862</v>
      </c>
      <c r="W40" s="333">
        <v>46082.0</v>
      </c>
      <c r="X40" s="275" t="s">
        <v>93</v>
      </c>
      <c r="Y40" s="276"/>
      <c r="Z40" s="277"/>
      <c r="AA40" s="278"/>
      <c r="AB40" s="304" t="s">
        <v>863</v>
      </c>
      <c r="AC40" s="262">
        <v>1.0</v>
      </c>
      <c r="AD40" s="262">
        <v>0.0</v>
      </c>
      <c r="AE40" s="262">
        <v>3.0</v>
      </c>
      <c r="AF40" s="280">
        <v>3.0</v>
      </c>
      <c r="AG40" s="280">
        <v>3.0</v>
      </c>
      <c r="AH40" s="281">
        <f t="shared" si="16"/>
        <v>0</v>
      </c>
      <c r="AI40" s="282">
        <f t="shared" si="13"/>
        <v>1</v>
      </c>
      <c r="AJ40" s="283">
        <v>1.0</v>
      </c>
      <c r="AK40" s="271">
        <v>46365.0</v>
      </c>
      <c r="AL40" s="271">
        <v>46068.0</v>
      </c>
      <c r="AM40" s="284"/>
      <c r="AN40" s="285">
        <v>46059.0</v>
      </c>
      <c r="AO40" s="262" t="s">
        <v>864</v>
      </c>
      <c r="AP40" s="286" t="s">
        <v>865</v>
      </c>
      <c r="AQ40" s="118" t="s">
        <v>866</v>
      </c>
      <c r="AR40" s="286" t="s">
        <v>867</v>
      </c>
      <c r="AS40" s="287">
        <v>18756.41</v>
      </c>
      <c r="AT40" s="287"/>
      <c r="AU40" s="288">
        <f>VLOOKUP(I40,DADOS!B:C,2,0)</f>
        <v>2381</v>
      </c>
      <c r="AV40" s="289">
        <f t="shared" si="14"/>
        <v>7440</v>
      </c>
      <c r="AW40" s="290"/>
      <c r="AX40" s="290"/>
      <c r="AY40" s="265"/>
      <c r="AZ40" s="291"/>
      <c r="BA40" s="292" t="s">
        <v>868</v>
      </c>
      <c r="BB40" s="293" t="s">
        <v>869</v>
      </c>
      <c r="BC40" s="294"/>
      <c r="BD40" s="294"/>
      <c r="BE40" s="294"/>
      <c r="BF40" s="294"/>
      <c r="BG40" s="334">
        <f t="shared" si="15"/>
        <v>0</v>
      </c>
      <c r="BH40" s="294"/>
      <c r="BI40" s="294" t="s">
        <v>865</v>
      </c>
      <c r="BJ40" s="295" t="s">
        <v>870</v>
      </c>
      <c r="BK40" s="296" t="s">
        <v>429</v>
      </c>
      <c r="BL40" s="297"/>
      <c r="BM40" s="297"/>
      <c r="BN40" s="298"/>
      <c r="BO40" s="299" t="s">
        <v>554</v>
      </c>
      <c r="BP40" s="300"/>
      <c r="BQ40" s="300"/>
      <c r="BR40" s="300"/>
      <c r="BS40" s="32"/>
      <c r="BT40" s="32"/>
    </row>
    <row r="41">
      <c r="A41" s="261">
        <v>9.102365647E9</v>
      </c>
      <c r="B41" s="262" t="s">
        <v>871</v>
      </c>
      <c r="C41" s="183" t="s">
        <v>872</v>
      </c>
      <c r="D41" s="142" t="s">
        <v>873</v>
      </c>
      <c r="E41" s="265" t="s">
        <v>874</v>
      </c>
      <c r="F41" s="305" t="s">
        <v>861</v>
      </c>
      <c r="G41" s="266" t="s">
        <v>495</v>
      </c>
      <c r="H41" s="302"/>
      <c r="I41" s="268" t="s">
        <v>459</v>
      </c>
      <c r="J41" s="269" t="str">
        <f>VLOOKUP(I41,DADOS!B:F,5,0)</f>
        <v>GILVANDO RIOS DA CRUZ - NTS025538</v>
      </c>
      <c r="K41" s="270" t="s">
        <v>413</v>
      </c>
      <c r="L41" s="303" t="s">
        <v>4</v>
      </c>
      <c r="M41" s="262" t="s">
        <v>105</v>
      </c>
      <c r="N41" s="271">
        <v>46046.0</v>
      </c>
      <c r="O41" s="272" t="s">
        <v>875</v>
      </c>
      <c r="P41" s="252">
        <v>46045.0</v>
      </c>
      <c r="Q41" s="273">
        <v>46049.0</v>
      </c>
      <c r="R41" s="271">
        <v>46051.0</v>
      </c>
      <c r="S41" s="254" t="s">
        <v>876</v>
      </c>
      <c r="T41" s="274">
        <v>46082.0</v>
      </c>
      <c r="U41" s="254" t="s">
        <v>877</v>
      </c>
      <c r="V41" s="255" t="str">
        <f t="shared" ref="V41:W41" si="18">X41</f>
        <v>2026-10819</v>
      </c>
      <c r="W41" s="333">
        <f t="shared" si="18"/>
        <v>46066</v>
      </c>
      <c r="X41" s="259" t="s">
        <v>878</v>
      </c>
      <c r="Y41" s="276">
        <v>46066.0</v>
      </c>
      <c r="Z41" s="277" t="s">
        <v>448</v>
      </c>
      <c r="AA41" s="324" t="s">
        <v>879</v>
      </c>
      <c r="AB41" s="304" t="s">
        <v>880</v>
      </c>
      <c r="AC41" s="262">
        <f>1+2</f>
        <v>3</v>
      </c>
      <c r="AD41" s="262">
        <v>0.0</v>
      </c>
      <c r="AE41" s="262">
        <v>16.0</v>
      </c>
      <c r="AF41" s="280">
        <f>11+5</f>
        <v>16</v>
      </c>
      <c r="AG41" s="280">
        <f>4+6+6</f>
        <v>16</v>
      </c>
      <c r="AH41" s="281">
        <f t="shared" si="16"/>
        <v>0</v>
      </c>
      <c r="AI41" s="282">
        <f t="shared" si="13"/>
        <v>1</v>
      </c>
      <c r="AJ41" s="283">
        <v>1.0</v>
      </c>
      <c r="AK41" s="271">
        <v>46057.0</v>
      </c>
      <c r="AL41" s="271">
        <v>46066.0</v>
      </c>
      <c r="AM41" s="284"/>
      <c r="AN41" s="285">
        <v>46066.0</v>
      </c>
      <c r="AO41" s="262" t="s">
        <v>881</v>
      </c>
      <c r="AP41" s="286" t="s">
        <v>882</v>
      </c>
      <c r="AQ41" s="118" t="s">
        <v>883</v>
      </c>
      <c r="AR41" s="286" t="s">
        <v>884</v>
      </c>
      <c r="AS41" s="287">
        <v>131144.45</v>
      </c>
      <c r="AT41" s="287"/>
      <c r="AU41" s="288">
        <f>VLOOKUP(I41,DADOS!B:C,2,0)</f>
        <v>2326</v>
      </c>
      <c r="AV41" s="289">
        <f t="shared" si="14"/>
        <v>39680</v>
      </c>
      <c r="AW41" s="290"/>
      <c r="AX41" s="290"/>
      <c r="AY41" s="265"/>
      <c r="AZ41" s="291"/>
      <c r="BA41" s="292" t="s">
        <v>885</v>
      </c>
      <c r="BB41" s="293" t="s">
        <v>886</v>
      </c>
      <c r="BC41" s="294"/>
      <c r="BD41" s="294"/>
      <c r="BE41" s="294"/>
      <c r="BF41" s="294"/>
      <c r="BG41" s="294">
        <f t="shared" si="15"/>
        <v>0</v>
      </c>
      <c r="BH41" s="294"/>
      <c r="BI41" s="294" t="s">
        <v>882</v>
      </c>
      <c r="BJ41" s="295" t="s">
        <v>887</v>
      </c>
      <c r="BK41" s="296" t="s">
        <v>429</v>
      </c>
      <c r="BL41" s="297"/>
      <c r="BM41" s="297"/>
      <c r="BN41" s="298"/>
      <c r="BO41" s="299"/>
      <c r="BP41" s="300"/>
      <c r="BQ41" s="300"/>
      <c r="BR41" s="300"/>
      <c r="BS41" s="300"/>
      <c r="BT41" s="300"/>
    </row>
    <row r="42">
      <c r="A42" s="140">
        <v>9.101691639E9</v>
      </c>
      <c r="B42" s="141" t="s">
        <v>888</v>
      </c>
      <c r="C42" s="362"/>
      <c r="D42" s="362"/>
      <c r="E42" s="172" t="s">
        <v>889</v>
      </c>
      <c r="F42" s="144" t="s">
        <v>861</v>
      </c>
      <c r="G42" s="145" t="s">
        <v>124</v>
      </c>
      <c r="H42" s="186" t="s">
        <v>890</v>
      </c>
      <c r="I42" s="147" t="s">
        <v>459</v>
      </c>
      <c r="J42" s="148" t="str">
        <f>VLOOKUP(I42,DADOS!B:F,5,0)</f>
        <v>GILVANDO RIOS DA CRUZ - NTS025538</v>
      </c>
      <c r="K42" s="149" t="s">
        <v>413</v>
      </c>
      <c r="L42" s="141" t="s">
        <v>11</v>
      </c>
      <c r="M42" s="141" t="s">
        <v>91</v>
      </c>
      <c r="N42" s="150">
        <v>46048.0</v>
      </c>
      <c r="O42" s="151"/>
      <c r="P42" s="152"/>
      <c r="Q42" s="363"/>
      <c r="R42" s="150"/>
      <c r="S42" s="104"/>
      <c r="T42" s="154"/>
      <c r="U42" s="104"/>
      <c r="V42" s="105"/>
      <c r="W42" s="154"/>
      <c r="X42" s="364"/>
      <c r="Y42" s="157"/>
      <c r="Z42" s="158" t="s">
        <v>162</v>
      </c>
      <c r="AA42" s="343" t="s">
        <v>891</v>
      </c>
      <c r="AB42" s="160" t="s">
        <v>892</v>
      </c>
      <c r="AC42" s="141">
        <v>1.0</v>
      </c>
      <c r="AD42" s="141"/>
      <c r="AE42" s="141">
        <v>15.0</v>
      </c>
      <c r="AF42" s="161"/>
      <c r="AG42" s="161"/>
      <c r="AH42" s="162">
        <f t="shared" si="16"/>
        <v>15</v>
      </c>
      <c r="AI42" s="163">
        <f t="shared" si="13"/>
        <v>0</v>
      </c>
      <c r="AJ42" s="114">
        <v>1.0</v>
      </c>
      <c r="AK42" s="150">
        <v>46058.0</v>
      </c>
      <c r="AL42" s="150">
        <v>46070.0</v>
      </c>
      <c r="AM42" s="164"/>
      <c r="AN42" s="165"/>
      <c r="AO42" s="141"/>
      <c r="AP42" s="166" t="s">
        <v>893</v>
      </c>
      <c r="AQ42" s="191" t="s">
        <v>894</v>
      </c>
      <c r="AR42" s="166" t="s">
        <v>895</v>
      </c>
      <c r="AS42" s="119">
        <v>154733.93</v>
      </c>
      <c r="AT42" s="168"/>
      <c r="AU42" s="169">
        <f>VLOOKUP(I42,DADOS!B:C,2,0)</f>
        <v>2326</v>
      </c>
      <c r="AV42" s="170">
        <f t="shared" si="14"/>
        <v>37200</v>
      </c>
      <c r="AW42" s="171"/>
      <c r="AX42" s="171"/>
      <c r="AY42" s="172"/>
      <c r="AZ42" s="173"/>
      <c r="BA42" s="174" t="s">
        <v>690</v>
      </c>
      <c r="BB42" s="175" t="s">
        <v>896</v>
      </c>
      <c r="BC42" s="176"/>
      <c r="BD42" s="176"/>
      <c r="BE42" s="176"/>
      <c r="BF42" s="176"/>
      <c r="BG42" s="176">
        <f t="shared" si="15"/>
        <v>0</v>
      </c>
      <c r="BH42" s="176"/>
      <c r="BI42" s="176" t="s">
        <v>893</v>
      </c>
      <c r="BJ42" s="178" t="s">
        <v>897</v>
      </c>
      <c r="BK42" s="179" t="s">
        <v>102</v>
      </c>
      <c r="BL42" s="180"/>
      <c r="BM42" s="180"/>
      <c r="BN42" s="181"/>
      <c r="BO42" s="130"/>
      <c r="BP42" s="131"/>
      <c r="BQ42" s="131"/>
      <c r="BR42" s="131"/>
      <c r="BS42" s="300"/>
      <c r="BT42" s="300"/>
    </row>
    <row r="43">
      <c r="A43" s="261">
        <v>9.102156043E9</v>
      </c>
      <c r="B43" s="262" t="s">
        <v>898</v>
      </c>
      <c r="C43" s="142" t="s">
        <v>899</v>
      </c>
      <c r="D43" s="142" t="s">
        <v>900</v>
      </c>
      <c r="E43" s="265" t="s">
        <v>901</v>
      </c>
      <c r="F43" s="305" t="s">
        <v>902</v>
      </c>
      <c r="G43" s="266" t="s">
        <v>495</v>
      </c>
      <c r="H43" s="302"/>
      <c r="I43" s="268" t="s">
        <v>584</v>
      </c>
      <c r="J43" s="269" t="s">
        <v>634</v>
      </c>
      <c r="K43" s="270" t="s">
        <v>585</v>
      </c>
      <c r="L43" s="132" t="s">
        <v>4</v>
      </c>
      <c r="M43" s="262" t="s">
        <v>559</v>
      </c>
      <c r="N43" s="271"/>
      <c r="O43" s="272"/>
      <c r="P43" s="314">
        <v>46043.0</v>
      </c>
      <c r="Q43" s="339">
        <v>46049.0</v>
      </c>
      <c r="R43" s="271">
        <v>46056.0</v>
      </c>
      <c r="S43" s="254" t="s">
        <v>903</v>
      </c>
      <c r="T43" s="274">
        <v>46082.0</v>
      </c>
      <c r="U43" s="275" t="s">
        <v>93</v>
      </c>
      <c r="V43" s="255" t="str">
        <f>S43</f>
        <v>2026-12289</v>
      </c>
      <c r="W43" s="274">
        <v>46082.0</v>
      </c>
      <c r="X43" s="275" t="s">
        <v>93</v>
      </c>
      <c r="Y43" s="276"/>
      <c r="Z43" s="277"/>
      <c r="AA43" s="278"/>
      <c r="AB43" s="304" t="s">
        <v>904</v>
      </c>
      <c r="AC43" s="262">
        <v>1.0</v>
      </c>
      <c r="AD43" s="262">
        <v>0.0</v>
      </c>
      <c r="AE43" s="262">
        <v>1.0</v>
      </c>
      <c r="AF43" s="280">
        <v>1.0</v>
      </c>
      <c r="AG43" s="280">
        <v>1.0</v>
      </c>
      <c r="AH43" s="281">
        <f t="shared" si="16"/>
        <v>0</v>
      </c>
      <c r="AI43" s="282">
        <f t="shared" si="13"/>
        <v>1</v>
      </c>
      <c r="AJ43" s="283">
        <v>1.0</v>
      </c>
      <c r="AK43" s="271">
        <v>46067.0</v>
      </c>
      <c r="AL43" s="271">
        <v>46067.0</v>
      </c>
      <c r="AM43" s="284"/>
      <c r="AN43" s="285">
        <v>46056.0</v>
      </c>
      <c r="AO43" s="262" t="s">
        <v>905</v>
      </c>
      <c r="AP43" s="286" t="s">
        <v>906</v>
      </c>
      <c r="AQ43" s="118" t="s">
        <v>907</v>
      </c>
      <c r="AR43" s="286" t="s">
        <v>908</v>
      </c>
      <c r="AS43" s="287">
        <v>8488.48</v>
      </c>
      <c r="AT43" s="287"/>
      <c r="AU43" s="288">
        <f>VLOOKUP(I43,DADOS!B:C,2,0)</f>
        <v>2381</v>
      </c>
      <c r="AV43" s="289">
        <f t="shared" si="14"/>
        <v>2480</v>
      </c>
      <c r="AW43" s="290"/>
      <c r="AX43" s="290"/>
      <c r="AY43" s="265"/>
      <c r="AZ43" s="291"/>
      <c r="BA43" s="292" t="s">
        <v>868</v>
      </c>
      <c r="BB43" s="293" t="s">
        <v>909</v>
      </c>
      <c r="BC43" s="294"/>
      <c r="BD43" s="294"/>
      <c r="BE43" s="294"/>
      <c r="BF43" s="294"/>
      <c r="BG43" s="294">
        <f t="shared" si="15"/>
        <v>0</v>
      </c>
      <c r="BH43" s="294"/>
      <c r="BI43" s="294" t="s">
        <v>906</v>
      </c>
      <c r="BJ43" s="295" t="s">
        <v>910</v>
      </c>
      <c r="BK43" s="296" t="s">
        <v>429</v>
      </c>
      <c r="BL43" s="297"/>
      <c r="BM43" s="297"/>
      <c r="BN43" s="298"/>
      <c r="BO43" s="299"/>
      <c r="BP43" s="300"/>
      <c r="BQ43" s="300"/>
      <c r="BR43" s="300"/>
      <c r="BS43" s="300"/>
      <c r="BT43" s="300"/>
    </row>
    <row r="44">
      <c r="A44" s="261">
        <v>9.102362333E9</v>
      </c>
      <c r="B44" s="262" t="s">
        <v>911</v>
      </c>
      <c r="C44" s="264" t="s">
        <v>93</v>
      </c>
      <c r="D44" s="264" t="s">
        <v>93</v>
      </c>
      <c r="E44" s="337" t="s">
        <v>912</v>
      </c>
      <c r="F44" s="305" t="s">
        <v>902</v>
      </c>
      <c r="G44" s="266" t="s">
        <v>495</v>
      </c>
      <c r="H44" s="302"/>
      <c r="I44" s="268" t="s">
        <v>584</v>
      </c>
      <c r="J44" s="269" t="s">
        <v>634</v>
      </c>
      <c r="K44" s="270" t="s">
        <v>585</v>
      </c>
      <c r="L44" s="303" t="s">
        <v>4</v>
      </c>
      <c r="M44" s="262" t="s">
        <v>105</v>
      </c>
      <c r="N44" s="271"/>
      <c r="O44" s="272"/>
      <c r="P44" s="252">
        <v>46043.0</v>
      </c>
      <c r="Q44" s="351">
        <v>46049.0</v>
      </c>
      <c r="R44" s="271">
        <v>46056.0</v>
      </c>
      <c r="S44" s="254" t="s">
        <v>913</v>
      </c>
      <c r="T44" s="274">
        <v>46082.0</v>
      </c>
      <c r="U44" s="275" t="s">
        <v>93</v>
      </c>
      <c r="V44" s="255" t="s">
        <v>914</v>
      </c>
      <c r="W44" s="274">
        <v>46082.0</v>
      </c>
      <c r="X44" s="275" t="s">
        <v>93</v>
      </c>
      <c r="Y44" s="276"/>
      <c r="Z44" s="277"/>
      <c r="AA44" s="278"/>
      <c r="AB44" s="304" t="s">
        <v>915</v>
      </c>
      <c r="AC44" s="262">
        <v>1.0</v>
      </c>
      <c r="AD44" s="262">
        <v>0.0</v>
      </c>
      <c r="AE44" s="262">
        <v>1.0</v>
      </c>
      <c r="AF44" s="280">
        <v>1.0</v>
      </c>
      <c r="AG44" s="280">
        <v>1.0</v>
      </c>
      <c r="AH44" s="281">
        <f t="shared" si="16"/>
        <v>0</v>
      </c>
      <c r="AI44" s="282">
        <f t="shared" si="13"/>
        <v>1</v>
      </c>
      <c r="AJ44" s="283">
        <v>1.0</v>
      </c>
      <c r="AK44" s="271">
        <v>46067.0</v>
      </c>
      <c r="AL44" s="271">
        <v>46067.0</v>
      </c>
      <c r="AM44" s="284"/>
      <c r="AN44" s="285">
        <v>46057.0</v>
      </c>
      <c r="AO44" s="262" t="s">
        <v>916</v>
      </c>
      <c r="AP44" s="286" t="s">
        <v>917</v>
      </c>
      <c r="AQ44" s="118" t="s">
        <v>918</v>
      </c>
      <c r="AR44" s="286" t="s">
        <v>919</v>
      </c>
      <c r="AS44" s="287">
        <v>17240.09</v>
      </c>
      <c r="AT44" s="287"/>
      <c r="AU44" s="288">
        <f>VLOOKUP(I44,DADOS!B:C,2,0)</f>
        <v>2381</v>
      </c>
      <c r="AV44" s="289">
        <f t="shared" si="14"/>
        <v>2480</v>
      </c>
      <c r="AW44" s="290"/>
      <c r="AX44" s="290"/>
      <c r="AY44" s="265"/>
      <c r="AZ44" s="291"/>
      <c r="BA44" s="292" t="s">
        <v>178</v>
      </c>
      <c r="BB44" s="293" t="s">
        <v>920</v>
      </c>
      <c r="BC44" s="294"/>
      <c r="BD44" s="294"/>
      <c r="BE44" s="294"/>
      <c r="BF44" s="294"/>
      <c r="BG44" s="294">
        <f t="shared" si="15"/>
        <v>0</v>
      </c>
      <c r="BH44" s="294"/>
      <c r="BI44" s="294" t="s">
        <v>921</v>
      </c>
      <c r="BJ44" s="295" t="s">
        <v>922</v>
      </c>
      <c r="BK44" s="296" t="s">
        <v>429</v>
      </c>
      <c r="BL44" s="297"/>
      <c r="BM44" s="297"/>
      <c r="BN44" s="298"/>
      <c r="BO44" s="299"/>
      <c r="BP44" s="300"/>
      <c r="BQ44" s="300"/>
      <c r="BR44" s="300"/>
      <c r="BS44" s="32"/>
      <c r="BT44" s="32"/>
    </row>
    <row r="45">
      <c r="A45" s="89">
        <v>9.102359866E9</v>
      </c>
      <c r="B45" s="99" t="s">
        <v>923</v>
      </c>
      <c r="C45" s="91" t="s">
        <v>93</v>
      </c>
      <c r="D45" s="91" t="s">
        <v>93</v>
      </c>
      <c r="E45" s="361" t="s">
        <v>924</v>
      </c>
      <c r="F45" s="93" t="s">
        <v>333</v>
      </c>
      <c r="G45" s="94" t="s">
        <v>416</v>
      </c>
      <c r="H45" s="95" t="s">
        <v>925</v>
      </c>
      <c r="I45" s="96" t="s">
        <v>733</v>
      </c>
      <c r="J45" s="97" t="str">
        <f>VLOOKUP(I45,DADOS!B:F,5,0)</f>
        <v>ETEMILSON OLIVEIRA SANTOS - NTS149530</v>
      </c>
      <c r="K45" s="98" t="s">
        <v>734</v>
      </c>
      <c r="L45" s="132" t="s">
        <v>4</v>
      </c>
      <c r="M45" s="99" t="s">
        <v>105</v>
      </c>
      <c r="N45" s="100"/>
      <c r="O45" s="101"/>
      <c r="P45" s="335">
        <v>46041.0</v>
      </c>
      <c r="Q45" s="365">
        <v>46041.0</v>
      </c>
      <c r="R45" s="100">
        <v>46050.0</v>
      </c>
      <c r="S45" s="366" t="s">
        <v>926</v>
      </c>
      <c r="T45" s="134">
        <v>46082.0</v>
      </c>
      <c r="U45" s="104" t="s">
        <v>93</v>
      </c>
      <c r="V45" s="255" t="s">
        <v>927</v>
      </c>
      <c r="W45" s="134">
        <v>46082.0</v>
      </c>
      <c r="X45" s="104" t="s">
        <v>93</v>
      </c>
      <c r="Y45" s="107"/>
      <c r="Z45" s="108"/>
      <c r="AA45" s="109"/>
      <c r="AB45" s="110" t="s">
        <v>928</v>
      </c>
      <c r="AC45" s="99">
        <v>1.0</v>
      </c>
      <c r="AD45" s="99">
        <v>0.0</v>
      </c>
      <c r="AE45" s="99">
        <v>2.0</v>
      </c>
      <c r="AF45" s="256">
        <v>2.0</v>
      </c>
      <c r="AG45" s="256">
        <v>1.0</v>
      </c>
      <c r="AH45" s="112">
        <f t="shared" si="16"/>
        <v>1</v>
      </c>
      <c r="AI45" s="113">
        <f t="shared" si="13"/>
        <v>0.5</v>
      </c>
      <c r="AJ45" s="114">
        <v>1.0</v>
      </c>
      <c r="AK45" s="100">
        <v>46055.0</v>
      </c>
      <c r="AL45" s="100">
        <v>46058.0</v>
      </c>
      <c r="AM45" s="115"/>
      <c r="AN45" s="116"/>
      <c r="AO45" s="99"/>
      <c r="AP45" s="117" t="s">
        <v>929</v>
      </c>
      <c r="AQ45" s="118" t="s">
        <v>930</v>
      </c>
      <c r="AR45" s="117" t="s">
        <v>931</v>
      </c>
      <c r="AS45" s="119">
        <v>33064.34</v>
      </c>
      <c r="AT45" s="119"/>
      <c r="AU45" s="120">
        <f>VLOOKUP(I45,DADOS!B:C,2,0)</f>
        <v>2303</v>
      </c>
      <c r="AV45" s="121">
        <f t="shared" si="14"/>
        <v>4960</v>
      </c>
      <c r="AW45" s="122">
        <v>0.063</v>
      </c>
      <c r="AX45" s="122"/>
      <c r="AY45" s="92"/>
      <c r="AZ45" s="123"/>
      <c r="BA45" s="124" t="s">
        <v>352</v>
      </c>
      <c r="BB45" s="125" t="s">
        <v>932</v>
      </c>
      <c r="BC45" s="126"/>
      <c r="BD45" s="126"/>
      <c r="BE45" s="126"/>
      <c r="BF45" s="126"/>
      <c r="BG45" s="126">
        <f t="shared" si="15"/>
        <v>0</v>
      </c>
      <c r="BH45" s="126"/>
      <c r="BI45" s="126" t="s">
        <v>929</v>
      </c>
      <c r="BJ45" s="128" t="s">
        <v>933</v>
      </c>
      <c r="BK45" s="105" t="s">
        <v>429</v>
      </c>
      <c r="BL45" s="129"/>
      <c r="BM45" s="129"/>
      <c r="BN45" s="36"/>
      <c r="BO45" s="130"/>
      <c r="BP45" s="32"/>
      <c r="BQ45" s="32"/>
      <c r="BR45" s="131"/>
      <c r="BS45" s="300"/>
      <c r="BT45" s="300"/>
    </row>
    <row r="46">
      <c r="A46" s="261">
        <v>9.102372071E9</v>
      </c>
      <c r="B46" s="262" t="s">
        <v>934</v>
      </c>
      <c r="C46" s="264" t="s">
        <v>93</v>
      </c>
      <c r="D46" s="264" t="s">
        <v>93</v>
      </c>
      <c r="E46" s="301" t="s">
        <v>935</v>
      </c>
      <c r="F46" s="305" t="s">
        <v>333</v>
      </c>
      <c r="G46" s="266" t="s">
        <v>495</v>
      </c>
      <c r="H46" s="302"/>
      <c r="I46" s="268" t="s">
        <v>733</v>
      </c>
      <c r="J46" s="269" t="str">
        <f>VLOOKUP(I46,DADOS!B:F,5,0)</f>
        <v>ETEMILSON OLIVEIRA SANTOS - NTS149530</v>
      </c>
      <c r="K46" s="270" t="s">
        <v>734</v>
      </c>
      <c r="L46" s="303" t="s">
        <v>4</v>
      </c>
      <c r="M46" s="262" t="s">
        <v>105</v>
      </c>
      <c r="N46" s="271"/>
      <c r="O46" s="272"/>
      <c r="P46" s="335">
        <v>46041.0</v>
      </c>
      <c r="Q46" s="367">
        <v>46041.0</v>
      </c>
      <c r="R46" s="271">
        <v>46050.0</v>
      </c>
      <c r="S46" s="275" t="s">
        <v>93</v>
      </c>
      <c r="T46" s="275" t="s">
        <v>93</v>
      </c>
      <c r="U46" s="275" t="s">
        <v>93</v>
      </c>
      <c r="V46" s="255" t="s">
        <v>936</v>
      </c>
      <c r="W46" s="333">
        <v>46082.0</v>
      </c>
      <c r="X46" s="275" t="s">
        <v>93</v>
      </c>
      <c r="Y46" s="276"/>
      <c r="Z46" s="277"/>
      <c r="AA46" s="368"/>
      <c r="AB46" s="304" t="s">
        <v>937</v>
      </c>
      <c r="AC46" s="262">
        <v>1.0</v>
      </c>
      <c r="AD46" s="262">
        <v>0.0</v>
      </c>
      <c r="AE46" s="262">
        <v>2.0</v>
      </c>
      <c r="AF46" s="280">
        <v>2.0</v>
      </c>
      <c r="AG46" s="280">
        <v>2.0</v>
      </c>
      <c r="AH46" s="281">
        <f t="shared" si="16"/>
        <v>0</v>
      </c>
      <c r="AI46" s="282">
        <f t="shared" si="13"/>
        <v>1</v>
      </c>
      <c r="AJ46" s="283">
        <v>1.0</v>
      </c>
      <c r="AK46" s="271">
        <v>46055.0</v>
      </c>
      <c r="AL46" s="271">
        <v>46062.0</v>
      </c>
      <c r="AM46" s="284"/>
      <c r="AN46" s="285">
        <v>46055.0</v>
      </c>
      <c r="AO46" s="262" t="s">
        <v>938</v>
      </c>
      <c r="AP46" s="286" t="s">
        <v>939</v>
      </c>
      <c r="AQ46" s="118" t="s">
        <v>940</v>
      </c>
      <c r="AR46" s="286" t="s">
        <v>941</v>
      </c>
      <c r="AS46" s="287">
        <v>16580.93</v>
      </c>
      <c r="AT46" s="287"/>
      <c r="AU46" s="288">
        <f>VLOOKUP(I46,DADOS!B:C,2,0)</f>
        <v>2303</v>
      </c>
      <c r="AV46" s="289">
        <f t="shared" si="14"/>
        <v>4960</v>
      </c>
      <c r="AW46" s="290">
        <v>0.125</v>
      </c>
      <c r="AX46" s="290"/>
      <c r="AY46" s="265"/>
      <c r="AZ46" s="291"/>
      <c r="BA46" s="292" t="s">
        <v>352</v>
      </c>
      <c r="BB46" s="293" t="s">
        <v>942</v>
      </c>
      <c r="BC46" s="294"/>
      <c r="BD46" s="294"/>
      <c r="BE46" s="294"/>
      <c r="BF46" s="294"/>
      <c r="BG46" s="334">
        <f t="shared" si="15"/>
        <v>0</v>
      </c>
      <c r="BH46" s="294"/>
      <c r="BI46" s="294" t="s">
        <v>939</v>
      </c>
      <c r="BJ46" s="295" t="s">
        <v>943</v>
      </c>
      <c r="BK46" s="296" t="s">
        <v>429</v>
      </c>
      <c r="BL46" s="297"/>
      <c r="BM46" s="297"/>
      <c r="BN46" s="298"/>
      <c r="BO46" s="299"/>
      <c r="BP46" s="300"/>
      <c r="BQ46" s="300"/>
      <c r="BR46" s="300"/>
      <c r="BS46" s="131"/>
      <c r="BT46" s="131"/>
    </row>
    <row r="47">
      <c r="A47" s="140">
        <v>9.102367847E9</v>
      </c>
      <c r="B47" s="141" t="s">
        <v>944</v>
      </c>
      <c r="C47" s="142"/>
      <c r="D47" s="142"/>
      <c r="E47" s="172" t="s">
        <v>945</v>
      </c>
      <c r="F47" s="144" t="s">
        <v>283</v>
      </c>
      <c r="G47" s="145" t="s">
        <v>162</v>
      </c>
      <c r="H47" s="186" t="s">
        <v>946</v>
      </c>
      <c r="I47" s="147" t="s">
        <v>733</v>
      </c>
      <c r="J47" s="148" t="str">
        <f>VLOOKUP(I47,DADOS!B:F,5,0)</f>
        <v>ETEMILSON OLIVEIRA SANTOS - NTS149530</v>
      </c>
      <c r="K47" s="149" t="s">
        <v>734</v>
      </c>
      <c r="L47" s="190" t="s">
        <v>4</v>
      </c>
      <c r="M47" s="141" t="s">
        <v>105</v>
      </c>
      <c r="N47" s="150"/>
      <c r="O47" s="151"/>
      <c r="P47" s="369">
        <v>46052.0</v>
      </c>
      <c r="Q47" s="370">
        <v>46055.0</v>
      </c>
      <c r="R47" s="150">
        <v>46058.0</v>
      </c>
      <c r="S47" s="153" t="s">
        <v>93</v>
      </c>
      <c r="T47" s="153" t="s">
        <v>93</v>
      </c>
      <c r="U47" s="153" t="s">
        <v>93</v>
      </c>
      <c r="V47" s="155" t="str">
        <f t="shared" ref="V47:W47" si="19">X47</f>
        <v>2026-14374
2026-14376</v>
      </c>
      <c r="W47" s="156" t="str">
        <f t="shared" si="19"/>
        <v/>
      </c>
      <c r="X47" s="371" t="s">
        <v>947</v>
      </c>
      <c r="Y47" s="188"/>
      <c r="Z47" s="158" t="s">
        <v>162</v>
      </c>
      <c r="AA47" s="159"/>
      <c r="AB47" s="160"/>
      <c r="AC47" s="141">
        <v>1.0</v>
      </c>
      <c r="AD47" s="141">
        <v>0.0</v>
      </c>
      <c r="AE47" s="141">
        <v>0.0</v>
      </c>
      <c r="AF47" s="161"/>
      <c r="AG47" s="161"/>
      <c r="AH47" s="162">
        <f t="shared" si="16"/>
        <v>0</v>
      </c>
      <c r="AI47" s="163">
        <f t="shared" si="13"/>
        <v>0</v>
      </c>
      <c r="AJ47" s="189">
        <v>1.0</v>
      </c>
      <c r="AK47" s="150">
        <v>46070.0</v>
      </c>
      <c r="AL47" s="150">
        <v>46077.0</v>
      </c>
      <c r="AM47" s="164"/>
      <c r="AN47" s="165"/>
      <c r="AO47" s="141"/>
      <c r="AP47" s="166" t="s">
        <v>948</v>
      </c>
      <c r="AQ47" s="191" t="s">
        <v>949</v>
      </c>
      <c r="AR47" s="166" t="s">
        <v>950</v>
      </c>
      <c r="AS47" s="168">
        <v>62080.11</v>
      </c>
      <c r="AT47" s="168"/>
      <c r="AU47" s="169">
        <f>VLOOKUP(I47,DADOS!B:C,2,0)</f>
        <v>2303</v>
      </c>
      <c r="AV47" s="170">
        <f t="shared" si="14"/>
        <v>0</v>
      </c>
      <c r="AW47" s="171"/>
      <c r="AX47" s="171"/>
      <c r="AY47" s="172"/>
      <c r="AZ47" s="173"/>
      <c r="BA47" s="174" t="s">
        <v>337</v>
      </c>
      <c r="BB47" s="175" t="s">
        <v>951</v>
      </c>
      <c r="BC47" s="176"/>
      <c r="BD47" s="176"/>
      <c r="BE47" s="176"/>
      <c r="BF47" s="176"/>
      <c r="BG47" s="177">
        <f t="shared" si="15"/>
        <v>0</v>
      </c>
      <c r="BH47" s="176"/>
      <c r="BI47" s="176" t="s">
        <v>948</v>
      </c>
      <c r="BJ47" s="178" t="s">
        <v>952</v>
      </c>
      <c r="BK47" s="155" t="s">
        <v>429</v>
      </c>
      <c r="BL47" s="180"/>
      <c r="BM47" s="180"/>
      <c r="BN47" s="181"/>
      <c r="BO47" s="130"/>
      <c r="BP47" s="131"/>
      <c r="BQ47" s="131"/>
      <c r="BR47" s="131"/>
      <c r="BS47" s="32"/>
      <c r="BT47" s="32"/>
    </row>
    <row r="48">
      <c r="A48" s="89">
        <v>9.102369368E9</v>
      </c>
      <c r="B48" s="99" t="s">
        <v>953</v>
      </c>
      <c r="C48" s="91"/>
      <c r="D48" s="91"/>
      <c r="E48" s="372" t="s">
        <v>954</v>
      </c>
      <c r="F48" s="93" t="s">
        <v>494</v>
      </c>
      <c r="G48" s="94" t="s">
        <v>416</v>
      </c>
      <c r="H48" s="95"/>
      <c r="I48" s="96" t="s">
        <v>512</v>
      </c>
      <c r="J48" s="97" t="str">
        <f>VLOOKUP(I48,DADOS!B:F,5,0)</f>
        <v>ETEMILSON OLIVEIRA SANTOS - NTS149530</v>
      </c>
      <c r="K48" s="98" t="s">
        <v>497</v>
      </c>
      <c r="L48" s="132" t="s">
        <v>4</v>
      </c>
      <c r="M48" s="99" t="s">
        <v>105</v>
      </c>
      <c r="N48" s="100"/>
      <c r="O48" s="101" t="s">
        <v>955</v>
      </c>
      <c r="P48" s="252">
        <v>46052.0</v>
      </c>
      <c r="Q48" s="253">
        <v>46055.0</v>
      </c>
      <c r="R48" s="100">
        <v>46057.0</v>
      </c>
      <c r="S48" s="254" t="s">
        <v>956</v>
      </c>
      <c r="T48" s="134">
        <v>46082.0</v>
      </c>
      <c r="U48" s="104" t="s">
        <v>93</v>
      </c>
      <c r="V48" s="255" t="s">
        <v>957</v>
      </c>
      <c r="W48" s="106">
        <v>46082.0</v>
      </c>
      <c r="X48" s="104" t="s">
        <v>93</v>
      </c>
      <c r="Y48" s="107"/>
      <c r="Z48" s="108"/>
      <c r="AA48" s="117" t="s">
        <v>958</v>
      </c>
      <c r="AB48" s="110" t="s">
        <v>959</v>
      </c>
      <c r="AC48" s="99">
        <v>1.0</v>
      </c>
      <c r="AD48" s="99">
        <v>0.0</v>
      </c>
      <c r="AE48" s="99">
        <v>15.0</v>
      </c>
      <c r="AF48" s="256">
        <f>9+6</f>
        <v>15</v>
      </c>
      <c r="AG48" s="256">
        <f>8+6+1</f>
        <v>15</v>
      </c>
      <c r="AH48" s="112">
        <f t="shared" si="16"/>
        <v>0</v>
      </c>
      <c r="AI48" s="113">
        <f t="shared" si="13"/>
        <v>1</v>
      </c>
      <c r="AJ48" s="114">
        <v>1.0</v>
      </c>
      <c r="AK48" s="100">
        <v>46055.0</v>
      </c>
      <c r="AL48" s="100">
        <v>46067.0</v>
      </c>
      <c r="AM48" s="115"/>
      <c r="AN48" s="116"/>
      <c r="AO48" s="99"/>
      <c r="AP48" s="117" t="s">
        <v>960</v>
      </c>
      <c r="AQ48" s="118" t="s">
        <v>961</v>
      </c>
      <c r="AR48" s="117" t="s">
        <v>962</v>
      </c>
      <c r="AS48" s="119">
        <v>92151.45</v>
      </c>
      <c r="AT48" s="119"/>
      <c r="AU48" s="120">
        <f>VLOOKUP(I48,DADOS!B:C,2,0)</f>
        <v>2299</v>
      </c>
      <c r="AV48" s="121">
        <f t="shared" si="14"/>
        <v>37200</v>
      </c>
      <c r="AW48" s="122"/>
      <c r="AX48" s="122"/>
      <c r="AY48" s="92"/>
      <c r="AZ48" s="123"/>
      <c r="BA48" s="124" t="s">
        <v>506</v>
      </c>
      <c r="BB48" s="125" t="s">
        <v>963</v>
      </c>
      <c r="BC48" s="126"/>
      <c r="BD48" s="126"/>
      <c r="BE48" s="126"/>
      <c r="BF48" s="126"/>
      <c r="BG48" s="127">
        <f t="shared" si="15"/>
        <v>0</v>
      </c>
      <c r="BH48" s="126"/>
      <c r="BI48" s="117" t="s">
        <v>960</v>
      </c>
      <c r="BJ48" s="128" t="s">
        <v>964</v>
      </c>
      <c r="BK48" s="105" t="s">
        <v>429</v>
      </c>
      <c r="BL48" s="180"/>
      <c r="BM48" s="180"/>
      <c r="BN48" s="181"/>
      <c r="BO48" s="130"/>
      <c r="BP48" s="131"/>
      <c r="BQ48" s="131"/>
      <c r="BR48" s="131"/>
      <c r="BS48" s="131"/>
      <c r="BT48" s="131"/>
    </row>
    <row r="49">
      <c r="A49" s="89">
        <v>9.102368609E9</v>
      </c>
      <c r="B49" s="99" t="s">
        <v>181</v>
      </c>
      <c r="C49" s="91"/>
      <c r="D49" s="91"/>
      <c r="E49" s="92" t="s">
        <v>182</v>
      </c>
      <c r="F49" s="93" t="s">
        <v>129</v>
      </c>
      <c r="G49" s="94" t="s">
        <v>416</v>
      </c>
      <c r="H49" s="95"/>
      <c r="I49" s="96" t="s">
        <v>965</v>
      </c>
      <c r="J49" s="97" t="str">
        <f>VLOOKUP(I49,DADOS!B:F,5,0)</f>
        <v>ETEMILSON OLIVEIRA SANTOS - NTS149530</v>
      </c>
      <c r="K49" s="98" t="s">
        <v>131</v>
      </c>
      <c r="L49" s="132" t="s">
        <v>4</v>
      </c>
      <c r="M49" s="99" t="s">
        <v>184</v>
      </c>
      <c r="N49" s="100">
        <v>46051.0</v>
      </c>
      <c r="O49" s="101" t="s">
        <v>955</v>
      </c>
      <c r="P49" s="252">
        <v>46051.0</v>
      </c>
      <c r="Q49" s="253">
        <v>46052.0</v>
      </c>
      <c r="R49" s="100">
        <v>46057.0</v>
      </c>
      <c r="S49" s="254" t="s">
        <v>966</v>
      </c>
      <c r="T49" s="134">
        <v>46082.0</v>
      </c>
      <c r="U49" s="104" t="s">
        <v>93</v>
      </c>
      <c r="V49" s="360" t="s">
        <v>967</v>
      </c>
      <c r="W49" s="106">
        <v>46082.0</v>
      </c>
      <c r="X49" s="104" t="s">
        <v>93</v>
      </c>
      <c r="Y49" s="107"/>
      <c r="Z49" s="108"/>
      <c r="AA49" s="117" t="s">
        <v>968</v>
      </c>
      <c r="AB49" s="110" t="s">
        <v>969</v>
      </c>
      <c r="AC49" s="99">
        <v>11.0</v>
      </c>
      <c r="AD49" s="99">
        <v>0.0</v>
      </c>
      <c r="AE49" s="99">
        <v>99.0</v>
      </c>
      <c r="AF49" s="256">
        <f>78+11+10</f>
        <v>99</v>
      </c>
      <c r="AG49" s="256">
        <f>34+13+6+10+6+3+6+9+12</f>
        <v>99</v>
      </c>
      <c r="AH49" s="112">
        <f t="shared" si="16"/>
        <v>0</v>
      </c>
      <c r="AI49" s="113">
        <f t="shared" si="13"/>
        <v>1</v>
      </c>
      <c r="AJ49" s="114">
        <v>0.5</v>
      </c>
      <c r="AK49" s="100">
        <v>46055.0</v>
      </c>
      <c r="AL49" s="100">
        <v>46087.0</v>
      </c>
      <c r="AM49" s="115"/>
      <c r="AN49" s="116"/>
      <c r="AO49" s="99"/>
      <c r="AP49" s="117" t="s">
        <v>970</v>
      </c>
      <c r="AQ49" s="118" t="s">
        <v>971</v>
      </c>
      <c r="AR49" s="117" t="s">
        <v>972</v>
      </c>
      <c r="AS49" s="119">
        <v>730549.03</v>
      </c>
      <c r="AT49" s="119"/>
      <c r="AU49" s="120">
        <f>VLOOKUP(I49,DADOS!B:C,2,0)</f>
        <v>2301</v>
      </c>
      <c r="AV49" s="121">
        <f t="shared" si="14"/>
        <v>245520</v>
      </c>
      <c r="AW49" s="122"/>
      <c r="AX49" s="122"/>
      <c r="AY49" s="92"/>
      <c r="AZ49" s="123"/>
      <c r="BA49" s="124" t="s">
        <v>140</v>
      </c>
      <c r="BB49" s="125" t="s">
        <v>973</v>
      </c>
      <c r="BC49" s="126"/>
      <c r="BD49" s="126"/>
      <c r="BE49" s="126"/>
      <c r="BF49" s="126"/>
      <c r="BG49" s="127">
        <f t="shared" si="15"/>
        <v>0</v>
      </c>
      <c r="BH49" s="126"/>
      <c r="BI49" s="117" t="s">
        <v>970</v>
      </c>
      <c r="BJ49" s="128" t="s">
        <v>974</v>
      </c>
      <c r="BK49" s="373" t="s">
        <v>429</v>
      </c>
      <c r="BL49" s="129"/>
      <c r="BM49" s="129"/>
      <c r="BN49" s="36"/>
      <c r="BO49" s="130"/>
      <c r="BP49" s="32"/>
      <c r="BQ49" s="32"/>
      <c r="BR49" s="131"/>
      <c r="BS49" s="131"/>
      <c r="BT49" s="131"/>
    </row>
    <row r="50">
      <c r="A50" s="89">
        <v>9.102381531E9</v>
      </c>
      <c r="B50" s="99" t="s">
        <v>975</v>
      </c>
      <c r="C50" s="91"/>
      <c r="D50" s="91"/>
      <c r="E50" s="92" t="s">
        <v>976</v>
      </c>
      <c r="F50" s="93" t="s">
        <v>977</v>
      </c>
      <c r="G50" s="94" t="s">
        <v>416</v>
      </c>
      <c r="H50" s="95"/>
      <c r="I50" s="96" t="s">
        <v>682</v>
      </c>
      <c r="J50" s="97" t="str">
        <f>VLOOKUP(I50,DADOS!B:F,5,0)</f>
        <v>ETEMILSON OLIVEIRA SANTOS - NTS149530</v>
      </c>
      <c r="K50" s="98" t="s">
        <v>131</v>
      </c>
      <c r="L50" s="132" t="s">
        <v>4</v>
      </c>
      <c r="M50" s="99" t="s">
        <v>105</v>
      </c>
      <c r="N50" s="100"/>
      <c r="O50" s="101"/>
      <c r="P50" s="374">
        <v>46052.0</v>
      </c>
      <c r="Q50" s="346">
        <v>46052.0</v>
      </c>
      <c r="R50" s="100">
        <v>46057.0</v>
      </c>
      <c r="S50" s="254" t="s">
        <v>978</v>
      </c>
      <c r="T50" s="134">
        <v>46082.0</v>
      </c>
      <c r="U50" s="104" t="s">
        <v>93</v>
      </c>
      <c r="V50" s="255" t="s">
        <v>979</v>
      </c>
      <c r="W50" s="106">
        <v>46082.0</v>
      </c>
      <c r="X50" s="104" t="s">
        <v>93</v>
      </c>
      <c r="Y50" s="107"/>
      <c r="Z50" s="108"/>
      <c r="AA50" s="117" t="s">
        <v>980</v>
      </c>
      <c r="AB50" s="110" t="s">
        <v>981</v>
      </c>
      <c r="AC50" s="99">
        <v>1.0</v>
      </c>
      <c r="AD50" s="99">
        <v>0.0</v>
      </c>
      <c r="AE50" s="99">
        <f>15+1</f>
        <v>16</v>
      </c>
      <c r="AF50" s="256">
        <v>16.0</v>
      </c>
      <c r="AG50" s="256">
        <v>14.0</v>
      </c>
      <c r="AH50" s="112">
        <f t="shared" si="16"/>
        <v>2</v>
      </c>
      <c r="AI50" s="113">
        <f t="shared" si="13"/>
        <v>0.875</v>
      </c>
      <c r="AJ50" s="114">
        <v>1.0</v>
      </c>
      <c r="AK50" s="100">
        <v>46067.0</v>
      </c>
      <c r="AL50" s="100">
        <v>46073.0</v>
      </c>
      <c r="AM50" s="115"/>
      <c r="AN50" s="116"/>
      <c r="AO50" s="99"/>
      <c r="AP50" s="117" t="s">
        <v>982</v>
      </c>
      <c r="AQ50" s="118" t="s">
        <v>983</v>
      </c>
      <c r="AR50" s="117" t="s">
        <v>984</v>
      </c>
      <c r="AS50" s="119">
        <v>3350.01</v>
      </c>
      <c r="AT50" s="119"/>
      <c r="AU50" s="120">
        <f>VLOOKUP(I50,DADOS!B:C,2,0)</f>
        <v>2349</v>
      </c>
      <c r="AV50" s="121">
        <f t="shared" si="14"/>
        <v>39680</v>
      </c>
      <c r="AW50" s="122">
        <v>0.427</v>
      </c>
      <c r="AX50" s="122"/>
      <c r="AY50" s="92"/>
      <c r="AZ50" s="123"/>
      <c r="BA50" s="124" t="s">
        <v>985</v>
      </c>
      <c r="BB50" s="125" t="s">
        <v>986</v>
      </c>
      <c r="BC50" s="126"/>
      <c r="BD50" s="126"/>
      <c r="BE50" s="126"/>
      <c r="BF50" s="126"/>
      <c r="BG50" s="127">
        <f t="shared" si="15"/>
        <v>0</v>
      </c>
      <c r="BH50" s="126"/>
      <c r="BI50" s="117" t="s">
        <v>982</v>
      </c>
      <c r="BJ50" s="128" t="s">
        <v>987</v>
      </c>
      <c r="BK50" s="105" t="s">
        <v>429</v>
      </c>
      <c r="BL50" s="129"/>
      <c r="BM50" s="129"/>
      <c r="BN50" s="36"/>
      <c r="BO50" s="130"/>
      <c r="BP50" s="32"/>
      <c r="BQ50" s="32"/>
      <c r="BR50" s="131"/>
      <c r="BS50" s="32"/>
      <c r="BT50" s="32"/>
    </row>
    <row r="51">
      <c r="A51" s="89">
        <v>9.101906513E9</v>
      </c>
      <c r="B51" s="99" t="s">
        <v>988</v>
      </c>
      <c r="C51" s="91" t="s">
        <v>93</v>
      </c>
      <c r="D51" s="91" t="s">
        <v>93</v>
      </c>
      <c r="E51" s="92" t="s">
        <v>989</v>
      </c>
      <c r="F51" s="93" t="s">
        <v>333</v>
      </c>
      <c r="G51" s="94" t="s">
        <v>416</v>
      </c>
      <c r="H51" s="95"/>
      <c r="I51" s="96" t="s">
        <v>733</v>
      </c>
      <c r="J51" s="97" t="str">
        <f>VLOOKUP(I51,DADOS!B:F,5,0)</f>
        <v>ETEMILSON OLIVEIRA SANTOS - NTS149530</v>
      </c>
      <c r="K51" s="98" t="s">
        <v>734</v>
      </c>
      <c r="L51" s="132" t="s">
        <v>4</v>
      </c>
      <c r="M51" s="99" t="s">
        <v>164</v>
      </c>
      <c r="N51" s="100"/>
      <c r="O51" s="101"/>
      <c r="P51" s="374">
        <v>46051.0</v>
      </c>
      <c r="Q51" s="346">
        <v>46052.0</v>
      </c>
      <c r="R51" s="100">
        <v>46057.0</v>
      </c>
      <c r="S51" s="254" t="s">
        <v>990</v>
      </c>
      <c r="T51" s="134">
        <v>46082.0</v>
      </c>
      <c r="U51" s="104" t="s">
        <v>93</v>
      </c>
      <c r="V51" s="360" t="s">
        <v>991</v>
      </c>
      <c r="W51" s="106">
        <v>46082.0</v>
      </c>
      <c r="X51" s="104" t="s">
        <v>93</v>
      </c>
      <c r="Y51" s="107"/>
      <c r="Z51" s="108"/>
      <c r="AA51" s="117" t="s">
        <v>992</v>
      </c>
      <c r="AB51" s="110" t="s">
        <v>993</v>
      </c>
      <c r="AC51" s="99">
        <v>1.0</v>
      </c>
      <c r="AD51" s="99">
        <v>0.0</v>
      </c>
      <c r="AE51" s="99">
        <v>8.0</v>
      </c>
      <c r="AF51" s="256">
        <v>8.0</v>
      </c>
      <c r="AG51" s="256">
        <v>5.0</v>
      </c>
      <c r="AH51" s="112">
        <f t="shared" si="16"/>
        <v>3</v>
      </c>
      <c r="AI51" s="113">
        <f t="shared" si="13"/>
        <v>0.625</v>
      </c>
      <c r="AJ51" s="114">
        <v>1.0</v>
      </c>
      <c r="AK51" s="100">
        <v>46056.0</v>
      </c>
      <c r="AL51" s="100">
        <v>46063.0</v>
      </c>
      <c r="AM51" s="115"/>
      <c r="AN51" s="116"/>
      <c r="AO51" s="99"/>
      <c r="AP51" s="117" t="s">
        <v>994</v>
      </c>
      <c r="AQ51" s="118" t="s">
        <v>995</v>
      </c>
      <c r="AR51" s="117" t="s">
        <v>996</v>
      </c>
      <c r="AS51" s="119">
        <v>51721.9</v>
      </c>
      <c r="AT51" s="119"/>
      <c r="AU51" s="120">
        <f>VLOOKUP(I51,DADOS!B:C,2,0)</f>
        <v>2303</v>
      </c>
      <c r="AV51" s="121">
        <f t="shared" si="14"/>
        <v>19840</v>
      </c>
      <c r="AW51" s="122" t="s">
        <v>93</v>
      </c>
      <c r="AX51" s="122" t="s">
        <v>93</v>
      </c>
      <c r="AY51" s="92"/>
      <c r="AZ51" s="123"/>
      <c r="BA51" s="124" t="s">
        <v>140</v>
      </c>
      <c r="BB51" s="125" t="s">
        <v>997</v>
      </c>
      <c r="BC51" s="126"/>
      <c r="BD51" s="126"/>
      <c r="BE51" s="126"/>
      <c r="BF51" s="126"/>
      <c r="BG51" s="127">
        <f t="shared" si="15"/>
        <v>0</v>
      </c>
      <c r="BH51" s="126"/>
      <c r="BI51" s="117" t="s">
        <v>994</v>
      </c>
      <c r="BJ51" s="128" t="s">
        <v>998</v>
      </c>
      <c r="BK51" s="105" t="s">
        <v>429</v>
      </c>
      <c r="BL51" s="129"/>
      <c r="BM51" s="129"/>
      <c r="BN51" s="36"/>
      <c r="BO51" s="130"/>
      <c r="BP51" s="32"/>
      <c r="BQ51" s="32"/>
      <c r="BR51" s="131"/>
      <c r="BS51" s="131"/>
      <c r="BT51" s="131"/>
    </row>
    <row r="52">
      <c r="A52" s="140">
        <v>9.102011739E9</v>
      </c>
      <c r="B52" s="141" t="s">
        <v>999</v>
      </c>
      <c r="C52" s="142"/>
      <c r="D52" s="142"/>
      <c r="E52" s="172" t="s">
        <v>1000</v>
      </c>
      <c r="F52" s="144" t="s">
        <v>296</v>
      </c>
      <c r="G52" s="145" t="s">
        <v>124</v>
      </c>
      <c r="H52" s="186" t="s">
        <v>1001</v>
      </c>
      <c r="I52" s="147" t="s">
        <v>412</v>
      </c>
      <c r="J52" s="148" t="str">
        <f>VLOOKUP(I52,DADOS!B:F,5,0)</f>
        <v>ETEMILSON OLIVEIRA SANTOS - NTS149530</v>
      </c>
      <c r="K52" s="149"/>
      <c r="L52" s="141" t="s">
        <v>11</v>
      </c>
      <c r="M52" s="141" t="s">
        <v>164</v>
      </c>
      <c r="N52" s="150"/>
      <c r="O52" s="151"/>
      <c r="P52" s="152"/>
      <c r="Q52" s="150"/>
      <c r="R52" s="150"/>
      <c r="S52" s="153" t="s">
        <v>1002</v>
      </c>
      <c r="T52" s="154"/>
      <c r="U52" s="153" t="s">
        <v>93</v>
      </c>
      <c r="V52" s="155" t="s">
        <v>1003</v>
      </c>
      <c r="W52" s="156"/>
      <c r="X52" s="153" t="s">
        <v>93</v>
      </c>
      <c r="Y52" s="157"/>
      <c r="Z52" s="158"/>
      <c r="AA52" s="166" t="s">
        <v>1004</v>
      </c>
      <c r="AB52" s="160" t="s">
        <v>1005</v>
      </c>
      <c r="AC52" s="141">
        <v>1.0</v>
      </c>
      <c r="AD52" s="141"/>
      <c r="AE52" s="141">
        <v>6.0</v>
      </c>
      <c r="AF52" s="161"/>
      <c r="AG52" s="161"/>
      <c r="AH52" s="162">
        <f t="shared" si="16"/>
        <v>6</v>
      </c>
      <c r="AI52" s="163">
        <f t="shared" si="13"/>
        <v>0</v>
      </c>
      <c r="AJ52" s="189">
        <v>1.0</v>
      </c>
      <c r="AK52" s="150"/>
      <c r="AL52" s="150"/>
      <c r="AM52" s="164"/>
      <c r="AN52" s="165"/>
      <c r="AO52" s="141"/>
      <c r="AP52" s="166"/>
      <c r="AQ52" s="191" t="s">
        <v>1006</v>
      </c>
      <c r="AR52" s="166" t="s">
        <v>1007</v>
      </c>
      <c r="AS52" s="168">
        <v>72927.29</v>
      </c>
      <c r="AT52" s="168"/>
      <c r="AU52" s="169">
        <f>VLOOKUP(I52,DADOS!B:C,2,0)</f>
        <v>2332</v>
      </c>
      <c r="AV52" s="170">
        <f t="shared" si="14"/>
        <v>14880</v>
      </c>
      <c r="AW52" s="171"/>
      <c r="AX52" s="171"/>
      <c r="AY52" s="172"/>
      <c r="AZ52" s="173"/>
      <c r="BA52" s="174" t="s">
        <v>300</v>
      </c>
      <c r="BB52" s="175" t="s">
        <v>1008</v>
      </c>
      <c r="BC52" s="176"/>
      <c r="BD52" s="176"/>
      <c r="BE52" s="176"/>
      <c r="BF52" s="176"/>
      <c r="BG52" s="177">
        <f t="shared" si="15"/>
        <v>0</v>
      </c>
      <c r="BH52" s="176"/>
      <c r="BI52" s="166" t="s">
        <v>1009</v>
      </c>
      <c r="BJ52" s="178" t="s">
        <v>1010</v>
      </c>
      <c r="BK52" s="179" t="s">
        <v>102</v>
      </c>
      <c r="BL52" s="180"/>
      <c r="BM52" s="180"/>
      <c r="BN52" s="181"/>
      <c r="BO52" s="130"/>
      <c r="BP52" s="131"/>
      <c r="BQ52" s="131"/>
      <c r="BR52" s="131"/>
      <c r="BS52" s="32"/>
      <c r="BT52" s="32"/>
    </row>
    <row r="53">
      <c r="A53" s="89">
        <v>9.102130224E9</v>
      </c>
      <c r="B53" s="99" t="s">
        <v>1011</v>
      </c>
      <c r="C53" s="375" t="s">
        <v>93</v>
      </c>
      <c r="D53" s="375" t="s">
        <v>93</v>
      </c>
      <c r="E53" s="92" t="s">
        <v>1012</v>
      </c>
      <c r="F53" s="93" t="s">
        <v>333</v>
      </c>
      <c r="G53" s="94" t="s">
        <v>416</v>
      </c>
      <c r="H53" s="95"/>
      <c r="I53" s="96" t="s">
        <v>733</v>
      </c>
      <c r="J53" s="97" t="str">
        <f>VLOOKUP(I53,DADOS!B:F,5,0)</f>
        <v>ETEMILSON OLIVEIRA SANTOS - NTS149530</v>
      </c>
      <c r="K53" s="98" t="s">
        <v>734</v>
      </c>
      <c r="L53" s="132" t="s">
        <v>4</v>
      </c>
      <c r="M53" s="99" t="s">
        <v>1013</v>
      </c>
      <c r="N53" s="100"/>
      <c r="O53" s="101"/>
      <c r="P53" s="374">
        <v>46051.0</v>
      </c>
      <c r="Q53" s="253">
        <v>46052.0</v>
      </c>
      <c r="R53" s="100">
        <v>46057.0</v>
      </c>
      <c r="S53" s="254" t="s">
        <v>1014</v>
      </c>
      <c r="T53" s="134">
        <v>46082.0</v>
      </c>
      <c r="U53" s="104" t="s">
        <v>93</v>
      </c>
      <c r="V53" s="255" t="s">
        <v>1015</v>
      </c>
      <c r="W53" s="106">
        <v>46082.0</v>
      </c>
      <c r="X53" s="104" t="s">
        <v>93</v>
      </c>
      <c r="Y53" s="107"/>
      <c r="Z53" s="108"/>
      <c r="AA53" s="109"/>
      <c r="AB53" s="110" t="s">
        <v>1016</v>
      </c>
      <c r="AC53" s="99">
        <v>1.0</v>
      </c>
      <c r="AD53" s="99">
        <v>0.0</v>
      </c>
      <c r="AE53" s="99">
        <v>1.0</v>
      </c>
      <c r="AF53" s="256">
        <v>1.0</v>
      </c>
      <c r="AG53" s="256">
        <v>1.0</v>
      </c>
      <c r="AH53" s="112">
        <f t="shared" si="16"/>
        <v>0</v>
      </c>
      <c r="AI53" s="113">
        <f t="shared" si="13"/>
        <v>1</v>
      </c>
      <c r="AJ53" s="114">
        <v>1.0</v>
      </c>
      <c r="AK53" s="100">
        <v>46064.0</v>
      </c>
      <c r="AL53" s="100">
        <v>46072.0</v>
      </c>
      <c r="AM53" s="115"/>
      <c r="AN53" s="116"/>
      <c r="AO53" s="99"/>
      <c r="AP53" s="117" t="s">
        <v>1017</v>
      </c>
      <c r="AQ53" s="118" t="s">
        <v>1018</v>
      </c>
      <c r="AR53" s="117" t="s">
        <v>1019</v>
      </c>
      <c r="AS53" s="119">
        <v>8491.71</v>
      </c>
      <c r="AT53" s="119"/>
      <c r="AU53" s="120">
        <f>VLOOKUP(I53,DADOS!B:C,2,0)</f>
        <v>2303</v>
      </c>
      <c r="AV53" s="121">
        <f t="shared" si="14"/>
        <v>2480</v>
      </c>
      <c r="AW53" s="122">
        <v>0.104</v>
      </c>
      <c r="AX53" s="122"/>
      <c r="AY53" s="92"/>
      <c r="AZ53" s="123"/>
      <c r="BA53" s="124" t="s">
        <v>140</v>
      </c>
      <c r="BB53" s="125" t="s">
        <v>1020</v>
      </c>
      <c r="BC53" s="126"/>
      <c r="BD53" s="126"/>
      <c r="BE53" s="126"/>
      <c r="BF53" s="126"/>
      <c r="BG53" s="127">
        <f t="shared" si="15"/>
        <v>0</v>
      </c>
      <c r="BH53" s="126"/>
      <c r="BI53" s="126" t="s">
        <v>1021</v>
      </c>
      <c r="BJ53" s="128" t="s">
        <v>1022</v>
      </c>
      <c r="BK53" s="105" t="s">
        <v>429</v>
      </c>
      <c r="BL53" s="129"/>
      <c r="BM53" s="129"/>
      <c r="BN53" s="36"/>
      <c r="BO53" s="130"/>
      <c r="BP53" s="32"/>
      <c r="BQ53" s="32"/>
      <c r="BR53" s="131"/>
      <c r="BS53" s="32"/>
      <c r="BT53" s="32"/>
    </row>
    <row r="54">
      <c r="A54" s="89">
        <v>9.101950748E9</v>
      </c>
      <c r="B54" s="99" t="s">
        <v>1023</v>
      </c>
      <c r="C54" s="376" t="s">
        <v>1024</v>
      </c>
      <c r="D54" s="91" t="s">
        <v>1025</v>
      </c>
      <c r="E54" s="92" t="s">
        <v>1026</v>
      </c>
      <c r="F54" s="93" t="s">
        <v>296</v>
      </c>
      <c r="G54" s="94" t="s">
        <v>458</v>
      </c>
      <c r="H54" s="95"/>
      <c r="I54" s="96" t="s">
        <v>805</v>
      </c>
      <c r="J54" s="97" t="str">
        <f>VLOOKUP(I54,DADOS!B:F,5,0)</f>
        <v>ETEMILSON OLIVEIRA SANTOS - NTS149530</v>
      </c>
      <c r="K54" s="98" t="s">
        <v>734</v>
      </c>
      <c r="L54" s="99" t="s">
        <v>11</v>
      </c>
      <c r="M54" s="99" t="s">
        <v>1027</v>
      </c>
      <c r="N54" s="100"/>
      <c r="O54" s="101"/>
      <c r="P54" s="374">
        <v>46051.0</v>
      </c>
      <c r="Q54" s="346">
        <v>46051.0</v>
      </c>
      <c r="R54" s="100">
        <v>46058.0</v>
      </c>
      <c r="S54" s="254" t="s">
        <v>1028</v>
      </c>
      <c r="T54" s="134">
        <v>46082.0</v>
      </c>
      <c r="U54" s="104" t="s">
        <v>93</v>
      </c>
      <c r="V54" s="377" t="str">
        <f>S54</f>
        <v>2026-21228</v>
      </c>
      <c r="W54" s="106">
        <v>46082.0</v>
      </c>
      <c r="X54" s="104" t="s">
        <v>93</v>
      </c>
      <c r="Y54" s="107"/>
      <c r="Z54" s="108"/>
      <c r="AA54" s="109"/>
      <c r="AB54" s="110" t="s">
        <v>1029</v>
      </c>
      <c r="AC54" s="99">
        <v>1.0</v>
      </c>
      <c r="AD54" s="99">
        <v>1.0</v>
      </c>
      <c r="AE54" s="99">
        <v>1.0</v>
      </c>
      <c r="AF54" s="111"/>
      <c r="AG54" s="111"/>
      <c r="AH54" s="112">
        <f t="shared" si="16"/>
        <v>1</v>
      </c>
      <c r="AI54" s="113">
        <f t="shared" si="13"/>
        <v>0</v>
      </c>
      <c r="AJ54" s="114">
        <v>1.0</v>
      </c>
      <c r="AK54" s="100">
        <v>46064.0</v>
      </c>
      <c r="AL54" s="100">
        <v>46071.0</v>
      </c>
      <c r="AM54" s="115"/>
      <c r="AN54" s="116"/>
      <c r="AO54" s="99"/>
      <c r="AP54" s="117" t="s">
        <v>1030</v>
      </c>
      <c r="AQ54" s="118" t="s">
        <v>1031</v>
      </c>
      <c r="AR54" s="117" t="s">
        <v>1032</v>
      </c>
      <c r="AS54" s="119">
        <v>18661.3</v>
      </c>
      <c r="AT54" s="119"/>
      <c r="AU54" s="120">
        <f>VLOOKUP(I54,DADOS!B:C,2,0)</f>
        <v>2302</v>
      </c>
      <c r="AV54" s="121">
        <f t="shared" si="14"/>
        <v>2480</v>
      </c>
      <c r="AW54" s="122">
        <v>0.043</v>
      </c>
      <c r="AX54" s="122"/>
      <c r="AY54" s="92"/>
      <c r="AZ54" s="123"/>
      <c r="BA54" s="124" t="s">
        <v>300</v>
      </c>
      <c r="BB54" s="125" t="s">
        <v>329</v>
      </c>
      <c r="BC54" s="126"/>
      <c r="BD54" s="126"/>
      <c r="BE54" s="126"/>
      <c r="BF54" s="126"/>
      <c r="BG54" s="127">
        <f t="shared" si="15"/>
        <v>0</v>
      </c>
      <c r="BH54" s="126"/>
      <c r="BI54" s="126" t="s">
        <v>1030</v>
      </c>
      <c r="BJ54" s="128" t="s">
        <v>1033</v>
      </c>
      <c r="BK54" s="105" t="s">
        <v>429</v>
      </c>
      <c r="BL54" s="129"/>
      <c r="BM54" s="129"/>
      <c r="BN54" s="36"/>
      <c r="BO54" s="130" t="s">
        <v>554</v>
      </c>
      <c r="BP54" s="32"/>
      <c r="BQ54" s="32"/>
      <c r="BR54" s="131"/>
      <c r="BS54" s="32"/>
      <c r="BT54" s="32"/>
    </row>
    <row r="55">
      <c r="A55" s="140">
        <v>9.102055122E9</v>
      </c>
      <c r="B55" s="141" t="s">
        <v>1034</v>
      </c>
      <c r="C55" s="142"/>
      <c r="D55" s="142"/>
      <c r="E55" s="172" t="s">
        <v>1035</v>
      </c>
      <c r="F55" s="144" t="s">
        <v>583</v>
      </c>
      <c r="G55" s="145" t="s">
        <v>124</v>
      </c>
      <c r="H55" s="146" t="s">
        <v>696</v>
      </c>
      <c r="I55" s="147" t="s">
        <v>965</v>
      </c>
      <c r="J55" s="148" t="str">
        <f>VLOOKUP(I55,DADOS!B:F,5,0)</f>
        <v>ETEMILSON OLIVEIRA SANTOS - NTS149530</v>
      </c>
      <c r="K55" s="149"/>
      <c r="L55" s="141" t="s">
        <v>11</v>
      </c>
      <c r="M55" s="141" t="s">
        <v>91</v>
      </c>
      <c r="N55" s="150"/>
      <c r="O55" s="151"/>
      <c r="P55" s="378">
        <v>46051.0</v>
      </c>
      <c r="Q55" s="378">
        <v>46051.0</v>
      </c>
      <c r="R55" s="150"/>
      <c r="S55" s="371" t="s">
        <v>1036</v>
      </c>
      <c r="T55" s="154"/>
      <c r="U55" s="153" t="s">
        <v>93</v>
      </c>
      <c r="V55" s="348" t="s">
        <v>1037</v>
      </c>
      <c r="W55" s="156"/>
      <c r="X55" s="153" t="s">
        <v>93</v>
      </c>
      <c r="Y55" s="157"/>
      <c r="Z55" s="158"/>
      <c r="AA55" s="166" t="s">
        <v>1038</v>
      </c>
      <c r="AB55" s="160" t="s">
        <v>1039</v>
      </c>
      <c r="AC55" s="141">
        <v>1.0</v>
      </c>
      <c r="AD55" s="141"/>
      <c r="AE55" s="141">
        <v>6.0</v>
      </c>
      <c r="AF55" s="161"/>
      <c r="AG55" s="161"/>
      <c r="AH55" s="162">
        <f t="shared" si="16"/>
        <v>6</v>
      </c>
      <c r="AI55" s="163">
        <f t="shared" si="13"/>
        <v>0</v>
      </c>
      <c r="AJ55" s="189">
        <v>1.0</v>
      </c>
      <c r="AK55" s="150"/>
      <c r="AL55" s="150"/>
      <c r="AM55" s="164"/>
      <c r="AN55" s="165"/>
      <c r="AO55" s="141"/>
      <c r="AP55" s="166" t="s">
        <v>1040</v>
      </c>
      <c r="AQ55" s="191" t="s">
        <v>1041</v>
      </c>
      <c r="AR55" s="166" t="s">
        <v>1042</v>
      </c>
      <c r="AS55" s="168"/>
      <c r="AT55" s="168"/>
      <c r="AU55" s="169">
        <f>VLOOKUP(I55,DADOS!B:C,2,0)</f>
        <v>2301</v>
      </c>
      <c r="AV55" s="170">
        <f t="shared" si="14"/>
        <v>14880</v>
      </c>
      <c r="AW55" s="171" t="s">
        <v>93</v>
      </c>
      <c r="AX55" s="171" t="s">
        <v>93</v>
      </c>
      <c r="AY55" s="172"/>
      <c r="AZ55" s="173"/>
      <c r="BA55" s="174" t="s">
        <v>592</v>
      </c>
      <c r="BB55" s="175" t="s">
        <v>1043</v>
      </c>
      <c r="BC55" s="176"/>
      <c r="BD55" s="176"/>
      <c r="BE55" s="176"/>
      <c r="BF55" s="176"/>
      <c r="BG55" s="177">
        <f t="shared" si="15"/>
        <v>0</v>
      </c>
      <c r="BH55" s="176"/>
      <c r="BI55" s="166" t="s">
        <v>1040</v>
      </c>
      <c r="BJ55" s="153" t="s">
        <v>1044</v>
      </c>
      <c r="BK55" s="179" t="s">
        <v>102</v>
      </c>
      <c r="BL55" s="180"/>
      <c r="BM55" s="180"/>
      <c r="BN55" s="181"/>
      <c r="BO55" s="130"/>
      <c r="BP55" s="131"/>
      <c r="BQ55" s="131"/>
      <c r="BR55" s="131"/>
      <c r="BS55" s="32"/>
      <c r="BT55" s="32"/>
    </row>
    <row r="56">
      <c r="A56" s="89">
        <v>9.102363727E9</v>
      </c>
      <c r="B56" s="99" t="s">
        <v>1045</v>
      </c>
      <c r="C56" s="379" t="s">
        <v>1046</v>
      </c>
      <c r="D56" s="91" t="s">
        <v>1047</v>
      </c>
      <c r="E56" s="92" t="s">
        <v>1048</v>
      </c>
      <c r="F56" s="93" t="s">
        <v>296</v>
      </c>
      <c r="G56" s="94" t="s">
        <v>458</v>
      </c>
      <c r="H56" s="95"/>
      <c r="I56" s="96" t="s">
        <v>805</v>
      </c>
      <c r="J56" s="97" t="str">
        <f>VLOOKUP(I56,DADOS!B:F,5,0)</f>
        <v>ETEMILSON OLIVEIRA SANTOS - NTS149530</v>
      </c>
      <c r="K56" s="98" t="s">
        <v>734</v>
      </c>
      <c r="L56" s="99" t="s">
        <v>11</v>
      </c>
      <c r="M56" s="99" t="s">
        <v>105</v>
      </c>
      <c r="N56" s="100"/>
      <c r="O56" s="101"/>
      <c r="P56" s="252">
        <v>46052.0</v>
      </c>
      <c r="Q56" s="253">
        <v>46052.0</v>
      </c>
      <c r="R56" s="100">
        <v>46058.0</v>
      </c>
      <c r="S56" s="254" t="s">
        <v>1049</v>
      </c>
      <c r="T56" s="134">
        <v>46082.0</v>
      </c>
      <c r="U56" s="104" t="s">
        <v>93</v>
      </c>
      <c r="V56" s="255" t="s">
        <v>1050</v>
      </c>
      <c r="W56" s="134">
        <v>46082.0</v>
      </c>
      <c r="X56" s="104" t="s">
        <v>93</v>
      </c>
      <c r="Y56" s="107"/>
      <c r="Z56" s="108"/>
      <c r="AA56" s="109"/>
      <c r="AB56" s="110" t="s">
        <v>1051</v>
      </c>
      <c r="AC56" s="99">
        <v>1.0</v>
      </c>
      <c r="AD56" s="380">
        <v>1.0</v>
      </c>
      <c r="AE56" s="99">
        <v>4.0</v>
      </c>
      <c r="AF56" s="111"/>
      <c r="AG56" s="111"/>
      <c r="AH56" s="112">
        <f t="shared" si="16"/>
        <v>4</v>
      </c>
      <c r="AI56" s="113">
        <f t="shared" si="13"/>
        <v>0</v>
      </c>
      <c r="AJ56" s="114">
        <v>1.0</v>
      </c>
      <c r="AK56" s="100">
        <v>46076.0</v>
      </c>
      <c r="AL56" s="100">
        <v>46078.0</v>
      </c>
      <c r="AM56" s="115"/>
      <c r="AN56" s="116"/>
      <c r="AO56" s="99"/>
      <c r="AP56" s="117" t="s">
        <v>1052</v>
      </c>
      <c r="AQ56" s="118" t="s">
        <v>1053</v>
      </c>
      <c r="AR56" s="117" t="s">
        <v>1054</v>
      </c>
      <c r="AS56" s="119"/>
      <c r="AT56" s="119"/>
      <c r="AU56" s="120">
        <f>VLOOKUP(I56,DADOS!B:C,2,0)</f>
        <v>2302</v>
      </c>
      <c r="AV56" s="121">
        <f t="shared" si="14"/>
        <v>9920</v>
      </c>
      <c r="AW56" s="122"/>
      <c r="AX56" s="122"/>
      <c r="AY56" s="92"/>
      <c r="AZ56" s="123"/>
      <c r="BA56" s="124" t="s">
        <v>300</v>
      </c>
      <c r="BB56" s="125" t="s">
        <v>329</v>
      </c>
      <c r="BC56" s="126"/>
      <c r="BD56" s="126"/>
      <c r="BE56" s="126"/>
      <c r="BF56" s="126"/>
      <c r="BG56" s="127">
        <f t="shared" si="15"/>
        <v>0</v>
      </c>
      <c r="BH56" s="126"/>
      <c r="BI56" s="126" t="s">
        <v>1052</v>
      </c>
      <c r="BJ56" s="128" t="s">
        <v>1055</v>
      </c>
      <c r="BK56" s="105" t="s">
        <v>429</v>
      </c>
      <c r="BL56" s="129"/>
      <c r="BM56" s="129"/>
      <c r="BN56" s="36"/>
      <c r="BO56" s="130"/>
      <c r="BP56" s="32"/>
      <c r="BQ56" s="32"/>
      <c r="BR56" s="131"/>
      <c r="BS56" s="300"/>
      <c r="BT56" s="300"/>
    </row>
    <row r="57">
      <c r="A57" s="140">
        <v>9.102356351E9</v>
      </c>
      <c r="B57" s="141" t="s">
        <v>1056</v>
      </c>
      <c r="C57" s="142"/>
      <c r="D57" s="142"/>
      <c r="E57" s="172" t="s">
        <v>1057</v>
      </c>
      <c r="F57" s="144" t="s">
        <v>296</v>
      </c>
      <c r="G57" s="145" t="s">
        <v>162</v>
      </c>
      <c r="H57" s="146" t="s">
        <v>1058</v>
      </c>
      <c r="I57" s="147" t="s">
        <v>965</v>
      </c>
      <c r="J57" s="148" t="str">
        <f>VLOOKUP(I57,DADOS!B:F,5,0)</f>
        <v>ETEMILSON OLIVEIRA SANTOS - NTS149530</v>
      </c>
      <c r="K57" s="149"/>
      <c r="L57" s="190" t="s">
        <v>4</v>
      </c>
      <c r="M57" s="141" t="s">
        <v>105</v>
      </c>
      <c r="N57" s="150"/>
      <c r="O57" s="151"/>
      <c r="P57" s="152" t="s">
        <v>1059</v>
      </c>
      <c r="Q57" s="150"/>
      <c r="R57" s="150"/>
      <c r="S57" s="371" t="s">
        <v>1060</v>
      </c>
      <c r="T57" s="154"/>
      <c r="U57" s="371" t="s">
        <v>1061</v>
      </c>
      <c r="V57" s="348" t="s">
        <v>1062</v>
      </c>
      <c r="W57" s="154"/>
      <c r="X57" s="153" t="s">
        <v>93</v>
      </c>
      <c r="Y57" s="157"/>
      <c r="Z57" s="158"/>
      <c r="AA57" s="381">
        <v>1049118.0</v>
      </c>
      <c r="AB57" s="160" t="s">
        <v>1063</v>
      </c>
      <c r="AC57" s="141">
        <v>2.0</v>
      </c>
      <c r="AD57" s="141"/>
      <c r="AE57" s="141">
        <v>18.0</v>
      </c>
      <c r="AF57" s="161"/>
      <c r="AG57" s="161"/>
      <c r="AH57" s="162">
        <f t="shared" si="16"/>
        <v>18</v>
      </c>
      <c r="AI57" s="163">
        <f t="shared" si="13"/>
        <v>0</v>
      </c>
      <c r="AJ57" s="189">
        <v>1.0</v>
      </c>
      <c r="AK57" s="150"/>
      <c r="AL57" s="150"/>
      <c r="AM57" s="164"/>
      <c r="AN57" s="165"/>
      <c r="AO57" s="141"/>
      <c r="AP57" s="166" t="s">
        <v>1064</v>
      </c>
      <c r="AQ57" s="167"/>
      <c r="AR57" s="166"/>
      <c r="AS57" s="168"/>
      <c r="AT57" s="168"/>
      <c r="AU57" s="169">
        <f>VLOOKUP(I57,DADOS!B:C,2,0)</f>
        <v>2301</v>
      </c>
      <c r="AV57" s="170">
        <f t="shared" si="14"/>
        <v>44640</v>
      </c>
      <c r="AW57" s="171"/>
      <c r="AX57" s="171"/>
      <c r="AY57" s="172"/>
      <c r="AZ57" s="173"/>
      <c r="BA57" s="174" t="s">
        <v>300</v>
      </c>
      <c r="BB57" s="175" t="s">
        <v>826</v>
      </c>
      <c r="BC57" s="176"/>
      <c r="BD57" s="176"/>
      <c r="BE57" s="176"/>
      <c r="BF57" s="176"/>
      <c r="BG57" s="177">
        <f t="shared" si="15"/>
        <v>0</v>
      </c>
      <c r="BH57" s="176"/>
      <c r="BI57" s="176" t="s">
        <v>823</v>
      </c>
      <c r="BJ57" s="178" t="s">
        <v>827</v>
      </c>
      <c r="BK57" s="179" t="s">
        <v>102</v>
      </c>
      <c r="BL57" s="180"/>
      <c r="BM57" s="180"/>
      <c r="BN57" s="181"/>
      <c r="BO57" s="130"/>
      <c r="BP57" s="131"/>
      <c r="BQ57" s="131"/>
      <c r="BR57" s="131"/>
      <c r="BS57" s="300"/>
      <c r="BT57" s="300"/>
    </row>
    <row r="58">
      <c r="A58" s="89">
        <v>9.102367116E9</v>
      </c>
      <c r="B58" s="99" t="s">
        <v>1065</v>
      </c>
      <c r="C58" s="91"/>
      <c r="D58" s="91"/>
      <c r="E58" s="92" t="s">
        <v>1066</v>
      </c>
      <c r="F58" s="93" t="s">
        <v>296</v>
      </c>
      <c r="G58" s="94" t="s">
        <v>458</v>
      </c>
      <c r="H58" s="95"/>
      <c r="I58" s="96" t="s">
        <v>805</v>
      </c>
      <c r="J58" s="97" t="str">
        <f>VLOOKUP(I58,DADOS!B:F,5,0)</f>
        <v>ETEMILSON OLIVEIRA SANTOS - NTS149530</v>
      </c>
      <c r="K58" s="98" t="s">
        <v>734</v>
      </c>
      <c r="L58" s="132" t="s">
        <v>4</v>
      </c>
      <c r="M58" s="99" t="s">
        <v>105</v>
      </c>
      <c r="N58" s="100"/>
      <c r="O58" s="101"/>
      <c r="P58" s="359">
        <v>46052.0</v>
      </c>
      <c r="Q58" s="253">
        <v>46052.0</v>
      </c>
      <c r="R58" s="100">
        <v>46058.0</v>
      </c>
      <c r="S58" s="254" t="s">
        <v>1067</v>
      </c>
      <c r="T58" s="134">
        <v>46082.0</v>
      </c>
      <c r="U58" s="254" t="s">
        <v>1068</v>
      </c>
      <c r="V58" s="255" t="s">
        <v>1069</v>
      </c>
      <c r="W58" s="134">
        <v>46082.0</v>
      </c>
      <c r="X58" s="104" t="s">
        <v>93</v>
      </c>
      <c r="Y58" s="107"/>
      <c r="Z58" s="108"/>
      <c r="AA58" s="382">
        <v>1049121.0</v>
      </c>
      <c r="AB58" s="110" t="s">
        <v>1070</v>
      </c>
      <c r="AC58" s="99">
        <v>2.0</v>
      </c>
      <c r="AD58" s="99">
        <v>0.0</v>
      </c>
      <c r="AE58" s="99">
        <v>17.0</v>
      </c>
      <c r="AF58" s="111"/>
      <c r="AG58" s="111"/>
      <c r="AH58" s="112">
        <f t="shared" si="16"/>
        <v>17</v>
      </c>
      <c r="AI58" s="113">
        <f t="shared" si="13"/>
        <v>0</v>
      </c>
      <c r="AJ58" s="114">
        <v>1.0</v>
      </c>
      <c r="AK58" s="100">
        <v>46067.0</v>
      </c>
      <c r="AL58" s="100">
        <v>46078.0</v>
      </c>
      <c r="AM58" s="115"/>
      <c r="AN58" s="116"/>
      <c r="AO58" s="99"/>
      <c r="AP58" s="117" t="s">
        <v>1071</v>
      </c>
      <c r="AQ58" s="118" t="s">
        <v>1072</v>
      </c>
      <c r="AR58" s="117" t="s">
        <v>1073</v>
      </c>
      <c r="AS58" s="119"/>
      <c r="AT58" s="119"/>
      <c r="AU58" s="120">
        <f>VLOOKUP(I58,DADOS!B:C,2,0)</f>
        <v>2302</v>
      </c>
      <c r="AV58" s="121">
        <f t="shared" si="14"/>
        <v>42160</v>
      </c>
      <c r="AW58" s="122"/>
      <c r="AX58" s="122"/>
      <c r="AY58" s="92"/>
      <c r="AZ58" s="123"/>
      <c r="BA58" s="124" t="s">
        <v>300</v>
      </c>
      <c r="BB58" s="125" t="s">
        <v>1074</v>
      </c>
      <c r="BC58" s="126"/>
      <c r="BD58" s="126"/>
      <c r="BE58" s="126"/>
      <c r="BF58" s="126"/>
      <c r="BG58" s="127">
        <f t="shared" si="15"/>
        <v>0</v>
      </c>
      <c r="BH58" s="126"/>
      <c r="BI58" s="126" t="s">
        <v>1071</v>
      </c>
      <c r="BJ58" s="128" t="s">
        <v>1075</v>
      </c>
      <c r="BK58" s="99" t="s">
        <v>429</v>
      </c>
      <c r="BL58" s="129"/>
      <c r="BM58" s="129"/>
      <c r="BN58" s="36"/>
      <c r="BO58" s="130"/>
      <c r="BP58" s="32"/>
      <c r="BQ58" s="32"/>
      <c r="BR58" s="131"/>
      <c r="BS58" s="131"/>
      <c r="BT58" s="131"/>
    </row>
    <row r="59">
      <c r="A59" s="140">
        <v>9.101097505E9</v>
      </c>
      <c r="B59" s="383" t="s">
        <v>1076</v>
      </c>
      <c r="C59" s="142" t="s">
        <v>1077</v>
      </c>
      <c r="D59" s="142" t="s">
        <v>1078</v>
      </c>
      <c r="E59" s="172" t="s">
        <v>1079</v>
      </c>
      <c r="F59" s="172" t="s">
        <v>386</v>
      </c>
      <c r="G59" s="145" t="s">
        <v>124</v>
      </c>
      <c r="H59" s="146" t="s">
        <v>1080</v>
      </c>
      <c r="I59" s="147" t="s">
        <v>773</v>
      </c>
      <c r="J59" s="148" t="str">
        <f>VLOOKUP(I59,DADOS!B:F,5,0)</f>
        <v>GILVANDO RIOS DA CRUZ - NTS025538</v>
      </c>
      <c r="K59" s="149" t="s">
        <v>413</v>
      </c>
      <c r="L59" s="141" t="s">
        <v>16</v>
      </c>
      <c r="M59" s="141" t="s">
        <v>164</v>
      </c>
      <c r="N59" s="150"/>
      <c r="O59" s="151"/>
      <c r="P59" s="384"/>
      <c r="Q59" s="150"/>
      <c r="R59" s="150"/>
      <c r="S59" s="153"/>
      <c r="T59" s="154"/>
      <c r="U59" s="153"/>
      <c r="V59" s="155"/>
      <c r="W59" s="156"/>
      <c r="X59" s="153"/>
      <c r="Y59" s="157"/>
      <c r="Z59" s="158"/>
      <c r="AA59" s="159"/>
      <c r="AB59" s="160"/>
      <c r="AC59" s="141">
        <v>5.0</v>
      </c>
      <c r="AD59" s="141"/>
      <c r="AE59" s="141">
        <v>9.0</v>
      </c>
      <c r="AF59" s="161"/>
      <c r="AG59" s="161"/>
      <c r="AH59" s="162">
        <f t="shared" si="16"/>
        <v>9</v>
      </c>
      <c r="AI59" s="163">
        <f t="shared" si="13"/>
        <v>0</v>
      </c>
      <c r="AJ59" s="189">
        <v>1.0</v>
      </c>
      <c r="AK59" s="150"/>
      <c r="AL59" s="150"/>
      <c r="AM59" s="164"/>
      <c r="AN59" s="165"/>
      <c r="AO59" s="141"/>
      <c r="AP59" s="166"/>
      <c r="AQ59" s="167"/>
      <c r="AR59" s="166"/>
      <c r="AS59" s="168"/>
      <c r="AT59" s="168"/>
      <c r="AU59" s="169">
        <f>VLOOKUP(I59,DADOS!B:C,2,0)</f>
        <v>2305</v>
      </c>
      <c r="AV59" s="170">
        <f t="shared" si="14"/>
        <v>22320</v>
      </c>
      <c r="AW59" s="171"/>
      <c r="AX59" s="171"/>
      <c r="AY59" s="172"/>
      <c r="AZ59" s="173"/>
      <c r="BA59" s="174"/>
      <c r="BB59" s="175"/>
      <c r="BC59" s="176"/>
      <c r="BD59" s="176"/>
      <c r="BE59" s="176"/>
      <c r="BF59" s="176"/>
      <c r="BG59" s="177">
        <f t="shared" si="15"/>
        <v>0</v>
      </c>
      <c r="BH59" s="176"/>
      <c r="BI59" s="176"/>
      <c r="BJ59" s="178"/>
      <c r="BK59" s="179" t="s">
        <v>102</v>
      </c>
      <c r="BL59" s="180"/>
      <c r="BM59" s="180"/>
      <c r="BN59" s="181"/>
      <c r="BO59" s="130"/>
      <c r="BP59" s="131"/>
      <c r="BQ59" s="131"/>
      <c r="BR59" s="131"/>
      <c r="BS59" s="131"/>
      <c r="BT59" s="131"/>
    </row>
    <row r="60">
      <c r="A60" s="89">
        <v>9.101755766E9</v>
      </c>
      <c r="B60" s="99" t="s">
        <v>1081</v>
      </c>
      <c r="C60" s="91" t="s">
        <v>93</v>
      </c>
      <c r="D60" s="91" t="s">
        <v>93</v>
      </c>
      <c r="E60" s="92" t="s">
        <v>1082</v>
      </c>
      <c r="F60" s="93" t="s">
        <v>861</v>
      </c>
      <c r="G60" s="94" t="s">
        <v>416</v>
      </c>
      <c r="H60" s="95"/>
      <c r="I60" s="96" t="s">
        <v>584</v>
      </c>
      <c r="J60" s="97" t="s">
        <v>634</v>
      </c>
      <c r="K60" s="98" t="s">
        <v>413</v>
      </c>
      <c r="L60" s="132" t="s">
        <v>4</v>
      </c>
      <c r="M60" s="99" t="s">
        <v>164</v>
      </c>
      <c r="N60" s="100"/>
      <c r="O60" s="101"/>
      <c r="P60" s="252">
        <v>46055.0</v>
      </c>
      <c r="Q60" s="346">
        <v>46055.0</v>
      </c>
      <c r="R60" s="100">
        <v>46058.0</v>
      </c>
      <c r="S60" s="366" t="s">
        <v>1083</v>
      </c>
      <c r="T60" s="134">
        <v>46082.0</v>
      </c>
      <c r="U60" s="104" t="s">
        <v>93</v>
      </c>
      <c r="V60" s="259" t="str">
        <f>S60</f>
        <v>2026-16777</v>
      </c>
      <c r="W60" s="134">
        <v>46082.0</v>
      </c>
      <c r="X60" s="104" t="s">
        <v>93</v>
      </c>
      <c r="Y60" s="107"/>
      <c r="Z60" s="108"/>
      <c r="AA60" s="109"/>
      <c r="AB60" s="110" t="s">
        <v>1084</v>
      </c>
      <c r="AC60" s="99">
        <v>1.0</v>
      </c>
      <c r="AD60" s="99">
        <v>0.0</v>
      </c>
      <c r="AE60" s="99">
        <v>1.0</v>
      </c>
      <c r="AF60" s="256">
        <v>1.0</v>
      </c>
      <c r="AG60" s="256">
        <v>1.0</v>
      </c>
      <c r="AH60" s="112">
        <f t="shared" si="16"/>
        <v>0</v>
      </c>
      <c r="AI60" s="113">
        <f t="shared" si="13"/>
        <v>1</v>
      </c>
      <c r="AJ60" s="114">
        <v>1.0</v>
      </c>
      <c r="AK60" s="100">
        <v>46074.0</v>
      </c>
      <c r="AL60" s="100">
        <v>46074.0</v>
      </c>
      <c r="AM60" s="115"/>
      <c r="AN60" s="116"/>
      <c r="AO60" s="99"/>
      <c r="AP60" s="126" t="s">
        <v>1085</v>
      </c>
      <c r="AQ60" s="118" t="s">
        <v>1086</v>
      </c>
      <c r="AR60" s="117" t="s">
        <v>1087</v>
      </c>
      <c r="AS60" s="119"/>
      <c r="AT60" s="119"/>
      <c r="AU60" s="120">
        <f>VLOOKUP(I60,DADOS!B:C,2,0)</f>
        <v>2381</v>
      </c>
      <c r="AV60" s="121">
        <f t="shared" si="14"/>
        <v>2480</v>
      </c>
      <c r="AW60" s="122"/>
      <c r="AX60" s="122"/>
      <c r="AY60" s="92"/>
      <c r="AZ60" s="123"/>
      <c r="BA60" s="124" t="s">
        <v>885</v>
      </c>
      <c r="BB60" s="125" t="s">
        <v>1088</v>
      </c>
      <c r="BC60" s="126"/>
      <c r="BD60" s="126"/>
      <c r="BE60" s="126"/>
      <c r="BF60" s="126"/>
      <c r="BG60" s="127">
        <f t="shared" si="15"/>
        <v>0</v>
      </c>
      <c r="BH60" s="126"/>
      <c r="BI60" s="126" t="s">
        <v>1085</v>
      </c>
      <c r="BJ60" s="128" t="s">
        <v>1089</v>
      </c>
      <c r="BK60" s="104" t="s">
        <v>429</v>
      </c>
      <c r="BL60" s="129"/>
      <c r="BM60" s="129"/>
      <c r="BN60" s="36"/>
      <c r="BO60" s="130"/>
      <c r="BP60" s="32"/>
      <c r="BQ60" s="32"/>
      <c r="BR60" s="131"/>
      <c r="BS60" s="32"/>
      <c r="BT60" s="32"/>
    </row>
    <row r="61">
      <c r="A61" s="140">
        <v>9.101893759E9</v>
      </c>
      <c r="B61" s="383" t="s">
        <v>1090</v>
      </c>
      <c r="C61" s="142" t="s">
        <v>1091</v>
      </c>
      <c r="D61" s="142" t="s">
        <v>1092</v>
      </c>
      <c r="E61" s="172" t="s">
        <v>1093</v>
      </c>
      <c r="F61" s="144" t="s">
        <v>977</v>
      </c>
      <c r="G61" s="145" t="s">
        <v>162</v>
      </c>
      <c r="H61" s="146" t="s">
        <v>1094</v>
      </c>
      <c r="I61" s="147" t="s">
        <v>682</v>
      </c>
      <c r="J61" s="148" t="s">
        <v>720</v>
      </c>
      <c r="K61" s="149" t="s">
        <v>131</v>
      </c>
      <c r="L61" s="141" t="s">
        <v>16</v>
      </c>
      <c r="M61" s="141" t="s">
        <v>164</v>
      </c>
      <c r="N61" s="150"/>
      <c r="O61" s="151"/>
      <c r="P61" s="385">
        <v>46052.0</v>
      </c>
      <c r="Q61" s="150" t="s">
        <v>92</v>
      </c>
      <c r="R61" s="150">
        <v>46063.0</v>
      </c>
      <c r="S61" s="371" t="s">
        <v>1095</v>
      </c>
      <c r="T61" s="154">
        <v>46082.0</v>
      </c>
      <c r="U61" s="153" t="s">
        <v>93</v>
      </c>
      <c r="V61" s="348" t="s">
        <v>1096</v>
      </c>
      <c r="W61" s="154">
        <v>46082.0</v>
      </c>
      <c r="X61" s="153" t="s">
        <v>93</v>
      </c>
      <c r="Y61" s="157"/>
      <c r="Z61" s="158"/>
      <c r="AA61" s="386">
        <v>1049221.0</v>
      </c>
      <c r="AB61" s="160" t="s">
        <v>1097</v>
      </c>
      <c r="AC61" s="141">
        <v>1.0</v>
      </c>
      <c r="AD61" s="141"/>
      <c r="AE61" s="141">
        <v>7.0</v>
      </c>
      <c r="AF61" s="161"/>
      <c r="AG61" s="161"/>
      <c r="AH61" s="162">
        <f t="shared" si="16"/>
        <v>7</v>
      </c>
      <c r="AI61" s="163">
        <f t="shared" si="13"/>
        <v>0</v>
      </c>
      <c r="AJ61" s="189">
        <v>1.0</v>
      </c>
      <c r="AK61" s="150">
        <v>46069.0</v>
      </c>
      <c r="AL61" s="150">
        <v>46073.0</v>
      </c>
      <c r="AM61" s="164"/>
      <c r="AN61" s="165"/>
      <c r="AO61" s="141"/>
      <c r="AP61" s="176" t="s">
        <v>1098</v>
      </c>
      <c r="AQ61" s="191" t="s">
        <v>1099</v>
      </c>
      <c r="AR61" s="166" t="s">
        <v>1100</v>
      </c>
      <c r="AS61" s="168"/>
      <c r="AT61" s="168"/>
      <c r="AU61" s="169">
        <f>VLOOKUP(I61,DADOS!B:C,2,0)</f>
        <v>2349</v>
      </c>
      <c r="AV61" s="170">
        <f t="shared" si="14"/>
        <v>17360</v>
      </c>
      <c r="AW61" s="171"/>
      <c r="AX61" s="171"/>
      <c r="AY61" s="172"/>
      <c r="AZ61" s="173"/>
      <c r="BA61" s="174" t="s">
        <v>985</v>
      </c>
      <c r="BB61" s="175" t="s">
        <v>1101</v>
      </c>
      <c r="BC61" s="176"/>
      <c r="BD61" s="176"/>
      <c r="BE61" s="176"/>
      <c r="BF61" s="176"/>
      <c r="BG61" s="177">
        <f t="shared" si="15"/>
        <v>0</v>
      </c>
      <c r="BH61" s="176"/>
      <c r="BI61" s="176" t="s">
        <v>1098</v>
      </c>
      <c r="BJ61" s="178" t="s">
        <v>1102</v>
      </c>
      <c r="BK61" s="179" t="s">
        <v>102</v>
      </c>
      <c r="BL61" s="180"/>
      <c r="BM61" s="180"/>
      <c r="BN61" s="181"/>
      <c r="BO61" s="130"/>
      <c r="BP61" s="131"/>
      <c r="BQ61" s="131"/>
      <c r="BR61" s="131"/>
      <c r="BS61" s="32"/>
      <c r="BT61" s="32"/>
    </row>
    <row r="62">
      <c r="A62" s="89">
        <v>9.101909607E9</v>
      </c>
      <c r="B62" s="99" t="s">
        <v>1103</v>
      </c>
      <c r="C62" s="142" t="s">
        <v>1104</v>
      </c>
      <c r="D62" s="142" t="s">
        <v>1105</v>
      </c>
      <c r="E62" s="92" t="s">
        <v>1106</v>
      </c>
      <c r="F62" s="93" t="s">
        <v>861</v>
      </c>
      <c r="G62" s="94" t="s">
        <v>416</v>
      </c>
      <c r="H62" s="95"/>
      <c r="I62" s="96" t="s">
        <v>584</v>
      </c>
      <c r="J62" s="97" t="s">
        <v>634</v>
      </c>
      <c r="K62" s="98" t="s">
        <v>413</v>
      </c>
      <c r="L62" s="99" t="s">
        <v>444</v>
      </c>
      <c r="M62" s="99" t="s">
        <v>164</v>
      </c>
      <c r="N62" s="100"/>
      <c r="O62" s="101"/>
      <c r="P62" s="252">
        <v>46055.0</v>
      </c>
      <c r="Q62" s="253">
        <v>46055.0</v>
      </c>
      <c r="R62" s="100">
        <v>46058.0</v>
      </c>
      <c r="S62" s="254" t="s">
        <v>1107</v>
      </c>
      <c r="T62" s="134">
        <v>46082.0</v>
      </c>
      <c r="U62" s="104" t="s">
        <v>93</v>
      </c>
      <c r="V62" s="259" t="str">
        <f>S62</f>
        <v>2026-21261</v>
      </c>
      <c r="W62" s="134">
        <v>46082.0</v>
      </c>
      <c r="X62" s="104" t="s">
        <v>93</v>
      </c>
      <c r="Y62" s="107"/>
      <c r="Z62" s="108"/>
      <c r="AA62" s="109"/>
      <c r="AB62" s="110" t="s">
        <v>1108</v>
      </c>
      <c r="AC62" s="99">
        <v>1.0</v>
      </c>
      <c r="AD62" s="99">
        <v>0.0</v>
      </c>
      <c r="AE62" s="99">
        <v>5.0</v>
      </c>
      <c r="AF62" s="256">
        <v>5.0</v>
      </c>
      <c r="AG62" s="256">
        <v>4.0</v>
      </c>
      <c r="AH62" s="112">
        <f t="shared" si="16"/>
        <v>1</v>
      </c>
      <c r="AI62" s="113">
        <f t="shared" si="13"/>
        <v>0.8</v>
      </c>
      <c r="AJ62" s="114">
        <v>1.0</v>
      </c>
      <c r="AK62" s="100">
        <v>46073.0</v>
      </c>
      <c r="AL62" s="100">
        <v>46075.0</v>
      </c>
      <c r="AM62" s="115"/>
      <c r="AN62" s="116"/>
      <c r="AO62" s="99"/>
      <c r="AP62" s="126" t="s">
        <v>1109</v>
      </c>
      <c r="AQ62" s="118" t="s">
        <v>1110</v>
      </c>
      <c r="AR62" s="117" t="s">
        <v>1111</v>
      </c>
      <c r="AS62" s="119"/>
      <c r="AT62" s="119"/>
      <c r="AU62" s="120">
        <f>VLOOKUP(I62,DADOS!B:C,2,0)</f>
        <v>2381</v>
      </c>
      <c r="AV62" s="121">
        <f t="shared" si="14"/>
        <v>12400</v>
      </c>
      <c r="AW62" s="122"/>
      <c r="AX62" s="122"/>
      <c r="AY62" s="92"/>
      <c r="AZ62" s="123"/>
      <c r="BA62" s="124" t="s">
        <v>868</v>
      </c>
      <c r="BB62" s="125" t="s">
        <v>1112</v>
      </c>
      <c r="BC62" s="126"/>
      <c r="BD62" s="126"/>
      <c r="BE62" s="126"/>
      <c r="BF62" s="126"/>
      <c r="BG62" s="127">
        <f t="shared" si="15"/>
        <v>0</v>
      </c>
      <c r="BH62" s="126"/>
      <c r="BI62" s="126" t="s">
        <v>1113</v>
      </c>
      <c r="BJ62" s="128" t="s">
        <v>1114</v>
      </c>
      <c r="BK62" s="104" t="s">
        <v>429</v>
      </c>
      <c r="BL62" s="129"/>
      <c r="BM62" s="129"/>
      <c r="BN62" s="36"/>
      <c r="BO62" s="130"/>
      <c r="BP62" s="32"/>
      <c r="BQ62" s="32"/>
      <c r="BR62" s="131"/>
      <c r="BS62" s="32"/>
      <c r="BT62" s="32"/>
    </row>
    <row r="63">
      <c r="A63" s="89">
        <v>9.101897876E9</v>
      </c>
      <c r="B63" s="99" t="s">
        <v>1115</v>
      </c>
      <c r="C63" s="387"/>
      <c r="D63" s="91" t="s">
        <v>1116</v>
      </c>
      <c r="E63" s="92" t="s">
        <v>1117</v>
      </c>
      <c r="F63" s="93" t="s">
        <v>90</v>
      </c>
      <c r="G63" s="94" t="s">
        <v>416</v>
      </c>
      <c r="H63" s="95"/>
      <c r="I63" s="96" t="s">
        <v>584</v>
      </c>
      <c r="J63" s="97" t="s">
        <v>634</v>
      </c>
      <c r="K63" s="98" t="s">
        <v>413</v>
      </c>
      <c r="L63" s="388" t="s">
        <v>4</v>
      </c>
      <c r="M63" s="99" t="s">
        <v>1118</v>
      </c>
      <c r="N63" s="100">
        <v>46058.0</v>
      </c>
      <c r="O63" s="101" t="s">
        <v>1119</v>
      </c>
      <c r="P63" s="252">
        <v>46055.0</v>
      </c>
      <c r="Q63" s="389">
        <v>46058.0</v>
      </c>
      <c r="R63" s="100">
        <v>46066.0</v>
      </c>
      <c r="S63" s="254" t="s">
        <v>1120</v>
      </c>
      <c r="T63" s="134">
        <v>46082.0</v>
      </c>
      <c r="U63" s="104" t="s">
        <v>93</v>
      </c>
      <c r="V63" s="255" t="s">
        <v>1121</v>
      </c>
      <c r="W63" s="134">
        <v>46082.0</v>
      </c>
      <c r="X63" s="104" t="s">
        <v>93</v>
      </c>
      <c r="Y63" s="107"/>
      <c r="Z63" s="108"/>
      <c r="AA63" s="382">
        <v>1049228.0</v>
      </c>
      <c r="AB63" s="110" t="s">
        <v>1122</v>
      </c>
      <c r="AC63" s="99">
        <v>2.0</v>
      </c>
      <c r="AD63" s="99">
        <v>0.0</v>
      </c>
      <c r="AE63" s="99">
        <v>12.0</v>
      </c>
      <c r="AF63" s="256">
        <f>7+4</f>
        <v>11</v>
      </c>
      <c r="AG63" s="111"/>
      <c r="AH63" s="112">
        <f t="shared" si="16"/>
        <v>12</v>
      </c>
      <c r="AI63" s="113">
        <f t="shared" si="13"/>
        <v>0</v>
      </c>
      <c r="AJ63" s="114">
        <v>1.0</v>
      </c>
      <c r="AK63" s="100">
        <v>46070.0</v>
      </c>
      <c r="AL63" s="100">
        <v>46079.0</v>
      </c>
      <c r="AM63" s="115"/>
      <c r="AN63" s="116"/>
      <c r="AO63" s="99"/>
      <c r="AP63" s="126" t="s">
        <v>1123</v>
      </c>
      <c r="AQ63" s="390" t="s">
        <v>1124</v>
      </c>
      <c r="AR63" s="117" t="s">
        <v>1125</v>
      </c>
      <c r="AS63" s="119"/>
      <c r="AT63" s="119"/>
      <c r="AU63" s="120">
        <f>VLOOKUP(I63,DADOS!B:C,2,0)</f>
        <v>2381</v>
      </c>
      <c r="AV63" s="121">
        <f t="shared" si="14"/>
        <v>29760</v>
      </c>
      <c r="AW63" s="122"/>
      <c r="AX63" s="122"/>
      <c r="AY63" s="92"/>
      <c r="AZ63" s="123"/>
      <c r="BA63" s="124" t="s">
        <v>99</v>
      </c>
      <c r="BB63" s="128" t="s">
        <v>1126</v>
      </c>
      <c r="BC63" s="126"/>
      <c r="BD63" s="126"/>
      <c r="BE63" s="126"/>
      <c r="BF63" s="126"/>
      <c r="BG63" s="127">
        <f t="shared" si="15"/>
        <v>0</v>
      </c>
      <c r="BH63" s="126"/>
      <c r="BI63" s="126" t="s">
        <v>1123</v>
      </c>
      <c r="BJ63" s="391" t="s">
        <v>1127</v>
      </c>
      <c r="BK63" s="105" t="s">
        <v>429</v>
      </c>
      <c r="BL63" s="129"/>
      <c r="BM63" s="129"/>
      <c r="BN63" s="36"/>
      <c r="BO63" s="130"/>
      <c r="BP63" s="32"/>
      <c r="BQ63" s="32"/>
      <c r="BR63" s="131"/>
      <c r="BS63" s="131"/>
      <c r="BT63" s="131"/>
    </row>
    <row r="64">
      <c r="A64" s="89">
        <v>9.101982499E9</v>
      </c>
      <c r="B64" s="99" t="s">
        <v>1128</v>
      </c>
      <c r="C64" s="91" t="s">
        <v>1129</v>
      </c>
      <c r="D64" s="91" t="s">
        <v>1130</v>
      </c>
      <c r="E64" s="92" t="s">
        <v>1131</v>
      </c>
      <c r="F64" s="93" t="s">
        <v>386</v>
      </c>
      <c r="G64" s="94" t="s">
        <v>416</v>
      </c>
      <c r="H64" s="95"/>
      <c r="I64" s="96" t="s">
        <v>496</v>
      </c>
      <c r="J64" s="97" t="s">
        <v>720</v>
      </c>
      <c r="K64" s="98" t="s">
        <v>608</v>
      </c>
      <c r="L64" s="99" t="s">
        <v>16</v>
      </c>
      <c r="M64" s="99" t="s">
        <v>164</v>
      </c>
      <c r="N64" s="100"/>
      <c r="O64" s="101"/>
      <c r="P64" s="392">
        <v>46059.0</v>
      </c>
      <c r="Q64" s="253">
        <v>46059.0</v>
      </c>
      <c r="R64" s="100">
        <v>46063.0</v>
      </c>
      <c r="S64" s="254" t="s">
        <v>1132</v>
      </c>
      <c r="T64" s="134">
        <v>46082.0</v>
      </c>
      <c r="U64" s="254" t="s">
        <v>1133</v>
      </c>
      <c r="V64" s="255" t="s">
        <v>1134</v>
      </c>
      <c r="W64" s="134">
        <v>46082.0</v>
      </c>
      <c r="X64" s="254" t="s">
        <v>1135</v>
      </c>
      <c r="Y64" s="107">
        <v>46071.0</v>
      </c>
      <c r="Z64" s="108" t="s">
        <v>448</v>
      </c>
      <c r="AA64" s="382">
        <v>1049229.0</v>
      </c>
      <c r="AB64" s="110" t="s">
        <v>1136</v>
      </c>
      <c r="AC64" s="99">
        <v>1.0</v>
      </c>
      <c r="AD64" s="99"/>
      <c r="AE64" s="99">
        <v>9.0</v>
      </c>
      <c r="AF64" s="256">
        <v>9.0</v>
      </c>
      <c r="AG64" s="256">
        <f>6+2</f>
        <v>8</v>
      </c>
      <c r="AH64" s="112">
        <f t="shared" si="16"/>
        <v>1</v>
      </c>
      <c r="AI64" s="113">
        <f t="shared" si="13"/>
        <v>0.8888888889</v>
      </c>
      <c r="AJ64" s="114">
        <v>1.0</v>
      </c>
      <c r="AK64" s="100">
        <v>46067.0</v>
      </c>
      <c r="AL64" s="100">
        <v>46071.0</v>
      </c>
      <c r="AM64" s="115"/>
      <c r="AN64" s="116"/>
      <c r="AO64" s="99"/>
      <c r="AP64" s="126" t="s">
        <v>1137</v>
      </c>
      <c r="AQ64" s="118" t="s">
        <v>1138</v>
      </c>
      <c r="AR64" s="117" t="s">
        <v>1139</v>
      </c>
      <c r="AS64" s="119"/>
      <c r="AT64" s="119"/>
      <c r="AU64" s="120">
        <f>VLOOKUP(I64,DADOS!B:C,2,0)</f>
        <v>2300</v>
      </c>
      <c r="AV64" s="121">
        <f t="shared" si="14"/>
        <v>22320</v>
      </c>
      <c r="AW64" s="122"/>
      <c r="AX64" s="122"/>
      <c r="AY64" s="92"/>
      <c r="AZ64" s="123"/>
      <c r="BA64" s="124" t="s">
        <v>140</v>
      </c>
      <c r="BB64" s="125" t="s">
        <v>1140</v>
      </c>
      <c r="BC64" s="126"/>
      <c r="BD64" s="126"/>
      <c r="BE64" s="126"/>
      <c r="BF64" s="126"/>
      <c r="BG64" s="127">
        <f t="shared" si="15"/>
        <v>0</v>
      </c>
      <c r="BH64" s="126"/>
      <c r="BI64" s="126" t="s">
        <v>1137</v>
      </c>
      <c r="BJ64" s="128" t="s">
        <v>1141</v>
      </c>
      <c r="BK64" s="105" t="s">
        <v>429</v>
      </c>
      <c r="BL64" s="129"/>
      <c r="BM64" s="129"/>
      <c r="BN64" s="36"/>
      <c r="BO64" s="130"/>
      <c r="BP64" s="32"/>
      <c r="BQ64" s="32"/>
      <c r="BR64" s="131"/>
      <c r="BS64" s="131"/>
      <c r="BT64" s="131"/>
    </row>
    <row r="65">
      <c r="A65" s="89">
        <v>9.102042905E9</v>
      </c>
      <c r="B65" s="99" t="s">
        <v>1142</v>
      </c>
      <c r="C65" s="91" t="s">
        <v>93</v>
      </c>
      <c r="D65" s="91" t="s">
        <v>93</v>
      </c>
      <c r="E65" s="92" t="s">
        <v>1143</v>
      </c>
      <c r="F65" s="93" t="s">
        <v>283</v>
      </c>
      <c r="G65" s="94" t="s">
        <v>416</v>
      </c>
      <c r="H65" s="95"/>
      <c r="I65" s="96" t="s">
        <v>733</v>
      </c>
      <c r="J65" s="97" t="str">
        <f>VLOOKUP(I65,DADOS!B:F,5,0)</f>
        <v>ETEMILSON OLIVEIRA SANTOS - NTS149530</v>
      </c>
      <c r="K65" s="98" t="s">
        <v>734</v>
      </c>
      <c r="L65" s="388" t="s">
        <v>4</v>
      </c>
      <c r="M65" s="99" t="s">
        <v>105</v>
      </c>
      <c r="N65" s="100">
        <v>46056.0</v>
      </c>
      <c r="O65" s="101" t="s">
        <v>1144</v>
      </c>
      <c r="P65" s="393">
        <v>46056.0</v>
      </c>
      <c r="Q65" s="253">
        <v>46056.0</v>
      </c>
      <c r="R65" s="100">
        <v>46062.0</v>
      </c>
      <c r="S65" s="254" t="s">
        <v>1145</v>
      </c>
      <c r="T65" s="134">
        <v>46082.0</v>
      </c>
      <c r="U65" s="104" t="s">
        <v>93</v>
      </c>
      <c r="V65" s="255" t="s">
        <v>1146</v>
      </c>
      <c r="W65" s="134">
        <v>46082.0</v>
      </c>
      <c r="X65" s="104" t="s">
        <v>93</v>
      </c>
      <c r="Y65" s="107"/>
      <c r="Z65" s="108"/>
      <c r="AA65" s="382">
        <v>1049231.0</v>
      </c>
      <c r="AB65" s="110" t="s">
        <v>1147</v>
      </c>
      <c r="AC65" s="99">
        <v>4.0</v>
      </c>
      <c r="AD65" s="99">
        <v>0.0</v>
      </c>
      <c r="AE65" s="99">
        <f>11-2</f>
        <v>9</v>
      </c>
      <c r="AF65" s="256">
        <v>9.0</v>
      </c>
      <c r="AG65" s="256">
        <v>8.0</v>
      </c>
      <c r="AH65" s="112">
        <f t="shared" si="16"/>
        <v>1</v>
      </c>
      <c r="AI65" s="113">
        <f t="shared" si="13"/>
        <v>0.8888888889</v>
      </c>
      <c r="AJ65" s="114">
        <v>1.0</v>
      </c>
      <c r="AK65" s="100">
        <v>46067.0</v>
      </c>
      <c r="AL65" s="100">
        <v>46071.0</v>
      </c>
      <c r="AM65" s="115"/>
      <c r="AN65" s="116"/>
      <c r="AO65" s="99"/>
      <c r="AP65" s="126" t="s">
        <v>1148</v>
      </c>
      <c r="AQ65" s="118" t="s">
        <v>1149</v>
      </c>
      <c r="AR65" s="394" t="s">
        <v>1150</v>
      </c>
      <c r="AS65" s="119"/>
      <c r="AT65" s="119"/>
      <c r="AU65" s="120">
        <f>VLOOKUP(I65,DADOS!B:C,2,0)</f>
        <v>2303</v>
      </c>
      <c r="AV65" s="121">
        <f t="shared" si="14"/>
        <v>22320</v>
      </c>
      <c r="AW65" s="122">
        <v>0.614</v>
      </c>
      <c r="AX65" s="122"/>
      <c r="AY65" s="92"/>
      <c r="AZ65" s="123"/>
      <c r="BA65" s="124" t="s">
        <v>291</v>
      </c>
      <c r="BB65" s="125" t="s">
        <v>1151</v>
      </c>
      <c r="BC65" s="126"/>
      <c r="BD65" s="126"/>
      <c r="BE65" s="126"/>
      <c r="BF65" s="126"/>
      <c r="BG65" s="127">
        <f t="shared" si="15"/>
        <v>0</v>
      </c>
      <c r="BH65" s="126"/>
      <c r="BI65" s="126" t="s">
        <v>1148</v>
      </c>
      <c r="BJ65" s="128" t="s">
        <v>1152</v>
      </c>
      <c r="BK65" s="105" t="s">
        <v>429</v>
      </c>
      <c r="BL65" s="129"/>
      <c r="BM65" s="129"/>
      <c r="BN65" s="36"/>
      <c r="BO65" s="130"/>
      <c r="BP65" s="32"/>
      <c r="BQ65" s="32"/>
      <c r="BR65" s="131"/>
      <c r="BS65" s="32"/>
      <c r="BT65" s="32"/>
    </row>
    <row r="66">
      <c r="A66" s="89">
        <v>9.102129109E9</v>
      </c>
      <c r="B66" s="99" t="s">
        <v>1153</v>
      </c>
      <c r="C66" s="142" t="s">
        <v>1154</v>
      </c>
      <c r="D66" s="142" t="s">
        <v>1155</v>
      </c>
      <c r="E66" s="92" t="s">
        <v>1156</v>
      </c>
      <c r="F66" s="93" t="s">
        <v>90</v>
      </c>
      <c r="G66" s="94" t="s">
        <v>458</v>
      </c>
      <c r="H66" s="95"/>
      <c r="I66" s="96" t="s">
        <v>584</v>
      </c>
      <c r="J66" s="97" t="s">
        <v>634</v>
      </c>
      <c r="K66" s="98" t="s">
        <v>413</v>
      </c>
      <c r="L66" s="99" t="s">
        <v>444</v>
      </c>
      <c r="M66" s="99" t="s">
        <v>164</v>
      </c>
      <c r="N66" s="100"/>
      <c r="O66" s="101"/>
      <c r="P66" s="252">
        <v>46055.0</v>
      </c>
      <c r="Q66" s="253">
        <v>46055.0</v>
      </c>
      <c r="R66" s="100">
        <v>46058.0</v>
      </c>
      <c r="S66" s="104" t="s">
        <v>93</v>
      </c>
      <c r="T66" s="104" t="s">
        <v>93</v>
      </c>
      <c r="U66" s="104" t="s">
        <v>93</v>
      </c>
      <c r="V66" s="395" t="s">
        <v>1157</v>
      </c>
      <c r="W66" s="134">
        <v>46082.0</v>
      </c>
      <c r="X66" s="104" t="s">
        <v>93</v>
      </c>
      <c r="Y66" s="107"/>
      <c r="Z66" s="108"/>
      <c r="AA66" s="382">
        <v>1049232.0</v>
      </c>
      <c r="AB66" s="110" t="s">
        <v>1158</v>
      </c>
      <c r="AC66" s="99">
        <v>2.0</v>
      </c>
      <c r="AD66" s="99">
        <v>0.0</v>
      </c>
      <c r="AE66" s="99">
        <v>6.0</v>
      </c>
      <c r="AF66" s="111"/>
      <c r="AG66" s="111"/>
      <c r="AH66" s="112">
        <f t="shared" si="16"/>
        <v>6</v>
      </c>
      <c r="AI66" s="113">
        <f t="shared" si="13"/>
        <v>0</v>
      </c>
      <c r="AJ66" s="114">
        <v>1.0</v>
      </c>
      <c r="AK66" s="100">
        <v>46069.0</v>
      </c>
      <c r="AL66" s="100">
        <v>46079.0</v>
      </c>
      <c r="AM66" s="115"/>
      <c r="AN66" s="116"/>
      <c r="AO66" s="99"/>
      <c r="AP66" s="126" t="s">
        <v>1159</v>
      </c>
      <c r="AQ66" s="118" t="s">
        <v>1160</v>
      </c>
      <c r="AR66" s="117" t="s">
        <v>1161</v>
      </c>
      <c r="AS66" s="119"/>
      <c r="AT66" s="119"/>
      <c r="AU66" s="120">
        <f>VLOOKUP(I66,DADOS!B:C,2,0)</f>
        <v>2381</v>
      </c>
      <c r="AV66" s="121">
        <f t="shared" si="14"/>
        <v>14880</v>
      </c>
      <c r="AW66" s="122"/>
      <c r="AX66" s="122"/>
      <c r="AY66" s="92"/>
      <c r="AZ66" s="123"/>
      <c r="BA66" s="124" t="s">
        <v>99</v>
      </c>
      <c r="BB66" s="125" t="s">
        <v>1162</v>
      </c>
      <c r="BC66" s="126"/>
      <c r="BD66" s="126"/>
      <c r="BE66" s="126"/>
      <c r="BF66" s="126"/>
      <c r="BG66" s="127">
        <f t="shared" si="15"/>
        <v>0</v>
      </c>
      <c r="BH66" s="126"/>
      <c r="BI66" s="126" t="s">
        <v>1159</v>
      </c>
      <c r="BJ66" s="128" t="s">
        <v>1163</v>
      </c>
      <c r="BK66" s="105" t="s">
        <v>429</v>
      </c>
      <c r="BL66" s="129"/>
      <c r="BM66" s="129"/>
      <c r="BN66" s="36"/>
      <c r="BO66" s="130"/>
      <c r="BP66" s="32"/>
      <c r="BQ66" s="32"/>
      <c r="BR66" s="131"/>
      <c r="BS66" s="131"/>
      <c r="BT66" s="131"/>
    </row>
    <row r="67" ht="15.75" customHeight="1">
      <c r="A67" s="89">
        <v>9.102132391E9</v>
      </c>
      <c r="B67" s="99" t="s">
        <v>1164</v>
      </c>
      <c r="C67" s="91" t="s">
        <v>1165</v>
      </c>
      <c r="D67" s="91" t="s">
        <v>1166</v>
      </c>
      <c r="E67" s="92" t="s">
        <v>1167</v>
      </c>
      <c r="F67" s="93" t="s">
        <v>977</v>
      </c>
      <c r="G67" s="94" t="s">
        <v>416</v>
      </c>
      <c r="H67" s="184" t="s">
        <v>1168</v>
      </c>
      <c r="I67" s="96" t="s">
        <v>682</v>
      </c>
      <c r="J67" s="97" t="s">
        <v>720</v>
      </c>
      <c r="K67" s="98" t="s">
        <v>131</v>
      </c>
      <c r="L67" s="132" t="s">
        <v>4</v>
      </c>
      <c r="M67" s="99" t="s">
        <v>164</v>
      </c>
      <c r="N67" s="100"/>
      <c r="O67" s="101"/>
      <c r="P67" s="335">
        <v>46057.0</v>
      </c>
      <c r="Q67" s="253">
        <v>46058.0</v>
      </c>
      <c r="R67" s="100">
        <v>46063.0</v>
      </c>
      <c r="S67" s="104" t="s">
        <v>93</v>
      </c>
      <c r="T67" s="104" t="s">
        <v>93</v>
      </c>
      <c r="U67" s="104" t="s">
        <v>93</v>
      </c>
      <c r="V67" s="255" t="s">
        <v>1169</v>
      </c>
      <c r="W67" s="134">
        <v>46082.0</v>
      </c>
      <c r="X67" s="104" t="s">
        <v>93</v>
      </c>
      <c r="Y67" s="107"/>
      <c r="Z67" s="108"/>
      <c r="AA67" s="109"/>
      <c r="AB67" s="110" t="s">
        <v>1170</v>
      </c>
      <c r="AC67" s="99">
        <v>1.0</v>
      </c>
      <c r="AD67" s="99">
        <v>0.0</v>
      </c>
      <c r="AE67" s="99">
        <v>1.0</v>
      </c>
      <c r="AF67" s="256">
        <v>1.0</v>
      </c>
      <c r="AG67" s="111"/>
      <c r="AH67" s="112">
        <f t="shared" si="16"/>
        <v>1</v>
      </c>
      <c r="AI67" s="113">
        <f t="shared" si="13"/>
        <v>0</v>
      </c>
      <c r="AJ67" s="114">
        <v>1.0</v>
      </c>
      <c r="AK67" s="100">
        <v>46075.0</v>
      </c>
      <c r="AL67" s="100">
        <v>46081.0</v>
      </c>
      <c r="AM67" s="115"/>
      <c r="AN67" s="116"/>
      <c r="AO67" s="99"/>
      <c r="AP67" s="126" t="s">
        <v>1171</v>
      </c>
      <c r="AQ67" s="118" t="s">
        <v>1172</v>
      </c>
      <c r="AR67" s="117" t="s">
        <v>1173</v>
      </c>
      <c r="AS67" s="119"/>
      <c r="AT67" s="119"/>
      <c r="AU67" s="120">
        <f>VLOOKUP(I67,DADOS!B:C,2,0)</f>
        <v>2349</v>
      </c>
      <c r="AV67" s="121">
        <f t="shared" si="14"/>
        <v>2480</v>
      </c>
      <c r="AW67" s="122"/>
      <c r="AX67" s="122"/>
      <c r="AY67" s="92"/>
      <c r="AZ67" s="123"/>
      <c r="BA67" s="124" t="s">
        <v>1174</v>
      </c>
      <c r="BB67" s="125" t="s">
        <v>1175</v>
      </c>
      <c r="BC67" s="126"/>
      <c r="BD67" s="126"/>
      <c r="BE67" s="126"/>
      <c r="BF67" s="126"/>
      <c r="BG67" s="127">
        <f t="shared" si="15"/>
        <v>0</v>
      </c>
      <c r="BH67" s="126"/>
      <c r="BI67" s="126" t="s">
        <v>1171</v>
      </c>
      <c r="BJ67" s="128" t="s">
        <v>1176</v>
      </c>
      <c r="BK67" s="105" t="s">
        <v>429</v>
      </c>
      <c r="BL67" s="129"/>
      <c r="BM67" s="129"/>
      <c r="BN67" s="36"/>
      <c r="BO67" s="130"/>
      <c r="BP67" s="32"/>
      <c r="BQ67" s="32"/>
      <c r="BR67" s="131"/>
      <c r="BS67" s="32"/>
      <c r="BT67" s="32"/>
    </row>
    <row r="68">
      <c r="A68" s="89">
        <v>9.101917593E9</v>
      </c>
      <c r="B68" s="99" t="s">
        <v>1177</v>
      </c>
      <c r="C68" s="91" t="s">
        <v>1178</v>
      </c>
      <c r="D68" s="91" t="s">
        <v>1179</v>
      </c>
      <c r="E68" s="92" t="s">
        <v>1180</v>
      </c>
      <c r="F68" s="93" t="s">
        <v>129</v>
      </c>
      <c r="G68" s="94" t="s">
        <v>416</v>
      </c>
      <c r="H68" s="184" t="s">
        <v>1181</v>
      </c>
      <c r="I68" s="96" t="s">
        <v>412</v>
      </c>
      <c r="J68" s="97" t="s">
        <v>720</v>
      </c>
      <c r="K68" s="98" t="s">
        <v>131</v>
      </c>
      <c r="L68" s="99" t="s">
        <v>11</v>
      </c>
      <c r="M68" s="99" t="s">
        <v>164</v>
      </c>
      <c r="N68" s="100"/>
      <c r="O68" s="101"/>
      <c r="P68" s="252">
        <v>46058.0</v>
      </c>
      <c r="Q68" s="253">
        <v>46058.0</v>
      </c>
      <c r="R68" s="100">
        <v>46062.0</v>
      </c>
      <c r="S68" s="254" t="s">
        <v>1182</v>
      </c>
      <c r="T68" s="134">
        <v>46082.0</v>
      </c>
      <c r="U68" s="104" t="s">
        <v>93</v>
      </c>
      <c r="V68" s="259" t="str">
        <f t="shared" ref="V68:V70" si="20">S68</f>
        <v>2026-16799</v>
      </c>
      <c r="W68" s="134">
        <v>46082.0</v>
      </c>
      <c r="X68" s="104" t="s">
        <v>93</v>
      </c>
      <c r="Y68" s="107"/>
      <c r="Z68" s="108"/>
      <c r="AA68" s="109"/>
      <c r="AB68" s="110" t="s">
        <v>1183</v>
      </c>
      <c r="AC68" s="99">
        <v>1.0</v>
      </c>
      <c r="AD68" s="99"/>
      <c r="AE68" s="99">
        <v>1.0</v>
      </c>
      <c r="AF68" s="256">
        <v>1.0</v>
      </c>
      <c r="AG68" s="256">
        <v>1.0</v>
      </c>
      <c r="AH68" s="112">
        <f t="shared" si="16"/>
        <v>0</v>
      </c>
      <c r="AI68" s="113">
        <f t="shared" si="13"/>
        <v>1</v>
      </c>
      <c r="AJ68" s="114">
        <v>1.0</v>
      </c>
      <c r="AK68" s="100">
        <v>46075.0</v>
      </c>
      <c r="AL68" s="100">
        <v>46078.0</v>
      </c>
      <c r="AM68" s="115"/>
      <c r="AN68" s="116"/>
      <c r="AO68" s="99"/>
      <c r="AP68" s="126" t="s">
        <v>1184</v>
      </c>
      <c r="AQ68" s="118" t="s">
        <v>1185</v>
      </c>
      <c r="AR68" s="117" t="s">
        <v>1186</v>
      </c>
      <c r="AS68" s="119"/>
      <c r="AT68" s="119"/>
      <c r="AU68" s="120">
        <f>VLOOKUP(I68,DADOS!B:C,2,0)</f>
        <v>2332</v>
      </c>
      <c r="AV68" s="121">
        <f t="shared" si="14"/>
        <v>2480</v>
      </c>
      <c r="AW68" s="122"/>
      <c r="AX68" s="122"/>
      <c r="AY68" s="92"/>
      <c r="AZ68" s="123"/>
      <c r="BA68" s="124" t="s">
        <v>140</v>
      </c>
      <c r="BB68" s="125" t="s">
        <v>1187</v>
      </c>
      <c r="BC68" s="126"/>
      <c r="BD68" s="126"/>
      <c r="BE68" s="126"/>
      <c r="BF68" s="126"/>
      <c r="BG68" s="127">
        <f t="shared" si="15"/>
        <v>0</v>
      </c>
      <c r="BH68" s="126"/>
      <c r="BI68" s="126" t="s">
        <v>1184</v>
      </c>
      <c r="BJ68" s="128" t="s">
        <v>1188</v>
      </c>
      <c r="BK68" s="104" t="s">
        <v>429</v>
      </c>
      <c r="BL68" s="129"/>
      <c r="BM68" s="129"/>
      <c r="BN68" s="36"/>
      <c r="BO68" s="130"/>
      <c r="BP68" s="32"/>
      <c r="BQ68" s="32"/>
      <c r="BR68" s="131"/>
      <c r="BS68" s="32"/>
      <c r="BT68" s="32"/>
    </row>
    <row r="69" ht="14.25" customHeight="1">
      <c r="A69" s="89">
        <v>9.102136521E9</v>
      </c>
      <c r="B69" s="99" t="s">
        <v>1189</v>
      </c>
      <c r="C69" s="376" t="s">
        <v>1190</v>
      </c>
      <c r="D69" s="91" t="s">
        <v>1191</v>
      </c>
      <c r="E69" s="92" t="s">
        <v>1192</v>
      </c>
      <c r="F69" s="93" t="s">
        <v>283</v>
      </c>
      <c r="G69" s="94" t="s">
        <v>416</v>
      </c>
      <c r="H69" s="95"/>
      <c r="I69" s="96" t="s">
        <v>733</v>
      </c>
      <c r="J69" s="97" t="s">
        <v>720</v>
      </c>
      <c r="K69" s="98" t="s">
        <v>734</v>
      </c>
      <c r="L69" s="99" t="s">
        <v>11</v>
      </c>
      <c r="M69" s="99" t="s">
        <v>1013</v>
      </c>
      <c r="N69" s="100"/>
      <c r="O69" s="101"/>
      <c r="P69" s="252">
        <v>46058.0</v>
      </c>
      <c r="Q69" s="253">
        <v>46058.0</v>
      </c>
      <c r="R69" s="100">
        <v>46062.0</v>
      </c>
      <c r="S69" s="254" t="s">
        <v>1193</v>
      </c>
      <c r="T69" s="134">
        <v>46082.0</v>
      </c>
      <c r="U69" s="104" t="s">
        <v>93</v>
      </c>
      <c r="V69" s="259" t="str">
        <f t="shared" si="20"/>
        <v>2026-16808</v>
      </c>
      <c r="W69" s="134">
        <v>46082.0</v>
      </c>
      <c r="X69" s="104" t="s">
        <v>93</v>
      </c>
      <c r="Y69" s="107"/>
      <c r="Z69" s="108"/>
      <c r="AA69" s="109"/>
      <c r="AB69" s="110" t="s">
        <v>1194</v>
      </c>
      <c r="AC69" s="99">
        <v>1.0</v>
      </c>
      <c r="AD69" s="99">
        <v>1.0</v>
      </c>
      <c r="AE69" s="99">
        <v>3.0</v>
      </c>
      <c r="AF69" s="256">
        <v>3.0</v>
      </c>
      <c r="AG69" s="256">
        <v>1.0</v>
      </c>
      <c r="AH69" s="112">
        <f t="shared" si="16"/>
        <v>2</v>
      </c>
      <c r="AI69" s="113">
        <f t="shared" si="13"/>
        <v>0.3333333333</v>
      </c>
      <c r="AJ69" s="114">
        <v>1.0</v>
      </c>
      <c r="AK69" s="100">
        <v>46075.0</v>
      </c>
      <c r="AL69" s="100">
        <v>46079.0</v>
      </c>
      <c r="AM69" s="115"/>
      <c r="AN69" s="116"/>
      <c r="AO69" s="99"/>
      <c r="AP69" s="126" t="s">
        <v>1195</v>
      </c>
      <c r="AQ69" s="118" t="s">
        <v>1196</v>
      </c>
      <c r="AR69" s="117" t="s">
        <v>1197</v>
      </c>
      <c r="AS69" s="119"/>
      <c r="AT69" s="119"/>
      <c r="AU69" s="120">
        <f>VLOOKUP(I69,DADOS!B:C,2,0)</f>
        <v>2303</v>
      </c>
      <c r="AV69" s="121">
        <f t="shared" si="14"/>
        <v>7440</v>
      </c>
      <c r="AW69" s="122"/>
      <c r="AX69" s="122"/>
      <c r="AY69" s="92"/>
      <c r="AZ69" s="123"/>
      <c r="BA69" s="124" t="s">
        <v>337</v>
      </c>
      <c r="BB69" s="125" t="s">
        <v>1198</v>
      </c>
      <c r="BC69" s="126"/>
      <c r="BD69" s="126"/>
      <c r="BE69" s="126"/>
      <c r="BF69" s="126"/>
      <c r="BG69" s="127">
        <f t="shared" si="15"/>
        <v>0</v>
      </c>
      <c r="BH69" s="126"/>
      <c r="BI69" s="126" t="s">
        <v>1195</v>
      </c>
      <c r="BJ69" s="128" t="s">
        <v>1199</v>
      </c>
      <c r="BK69" s="104" t="s">
        <v>429</v>
      </c>
      <c r="BL69" s="129"/>
      <c r="BM69" s="129"/>
      <c r="BN69" s="36"/>
      <c r="BO69" s="130"/>
      <c r="BP69" s="32"/>
      <c r="BQ69" s="32"/>
      <c r="BR69" s="131"/>
      <c r="BS69" s="32"/>
      <c r="BT69" s="32"/>
    </row>
    <row r="70">
      <c r="A70" s="89">
        <v>9.102134215E9</v>
      </c>
      <c r="B70" s="99" t="s">
        <v>1200</v>
      </c>
      <c r="C70" s="376" t="s">
        <v>1201</v>
      </c>
      <c r="D70" s="91" t="s">
        <v>1202</v>
      </c>
      <c r="E70" s="92" t="s">
        <v>1203</v>
      </c>
      <c r="F70" s="93" t="s">
        <v>386</v>
      </c>
      <c r="G70" s="94" t="s">
        <v>416</v>
      </c>
      <c r="H70" s="95"/>
      <c r="I70" s="96" t="s">
        <v>496</v>
      </c>
      <c r="J70" s="97" t="s">
        <v>720</v>
      </c>
      <c r="K70" s="98" t="s">
        <v>734</v>
      </c>
      <c r="L70" s="99" t="s">
        <v>11</v>
      </c>
      <c r="M70" s="99" t="s">
        <v>164</v>
      </c>
      <c r="N70" s="100"/>
      <c r="O70" s="101"/>
      <c r="P70" s="359">
        <v>46059.0</v>
      </c>
      <c r="Q70" s="253">
        <v>46059.0</v>
      </c>
      <c r="R70" s="100">
        <v>46063.0</v>
      </c>
      <c r="S70" s="254" t="s">
        <v>1204</v>
      </c>
      <c r="T70" s="134">
        <v>46082.0</v>
      </c>
      <c r="U70" s="104" t="s">
        <v>93</v>
      </c>
      <c r="V70" s="259" t="str">
        <f t="shared" si="20"/>
        <v>2026-16810</v>
      </c>
      <c r="W70" s="134">
        <v>46082.0</v>
      </c>
      <c r="X70" s="104" t="s">
        <v>93</v>
      </c>
      <c r="Y70" s="107"/>
      <c r="Z70" s="108"/>
      <c r="AA70" s="109"/>
      <c r="AB70" s="110" t="s">
        <v>1205</v>
      </c>
      <c r="AC70" s="99">
        <v>1.0</v>
      </c>
      <c r="AD70" s="99">
        <v>1.0</v>
      </c>
      <c r="AE70" s="99">
        <v>3.0</v>
      </c>
      <c r="AF70" s="256">
        <v>2.0</v>
      </c>
      <c r="AG70" s="256">
        <f>1+1</f>
        <v>2</v>
      </c>
      <c r="AH70" s="112">
        <f t="shared" si="16"/>
        <v>1</v>
      </c>
      <c r="AI70" s="113">
        <f t="shared" si="13"/>
        <v>0.6666666667</v>
      </c>
      <c r="AJ70" s="114">
        <v>1.0</v>
      </c>
      <c r="AK70" s="100">
        <v>46075.0</v>
      </c>
      <c r="AL70" s="100">
        <v>46079.0</v>
      </c>
      <c r="AM70" s="115"/>
      <c r="AN70" s="116"/>
      <c r="AO70" s="99"/>
      <c r="AP70" s="126" t="s">
        <v>1206</v>
      </c>
      <c r="AQ70" s="118" t="s">
        <v>1207</v>
      </c>
      <c r="AR70" s="117" t="s">
        <v>1208</v>
      </c>
      <c r="AS70" s="119"/>
      <c r="AT70" s="119"/>
      <c r="AU70" s="120">
        <f>VLOOKUP(I70,DADOS!B:C,2,0)</f>
        <v>2300</v>
      </c>
      <c r="AV70" s="121">
        <f t="shared" si="14"/>
        <v>7440</v>
      </c>
      <c r="AW70" s="122"/>
      <c r="AX70" s="122"/>
      <c r="AY70" s="92"/>
      <c r="AZ70" s="123"/>
      <c r="BA70" s="124" t="s">
        <v>337</v>
      </c>
      <c r="BB70" s="125" t="s">
        <v>1209</v>
      </c>
      <c r="BC70" s="126"/>
      <c r="BD70" s="126"/>
      <c r="BE70" s="126"/>
      <c r="BF70" s="126"/>
      <c r="BG70" s="127">
        <f t="shared" si="15"/>
        <v>0</v>
      </c>
      <c r="BH70" s="126"/>
      <c r="BI70" s="126" t="s">
        <v>1206</v>
      </c>
      <c r="BJ70" s="128" t="s">
        <v>1210</v>
      </c>
      <c r="BK70" s="104" t="s">
        <v>429</v>
      </c>
      <c r="BL70" s="129"/>
      <c r="BM70" s="129"/>
      <c r="BN70" s="36"/>
      <c r="BO70" s="130"/>
      <c r="BP70" s="32"/>
      <c r="BQ70" s="32"/>
      <c r="BR70" s="131"/>
      <c r="BS70" s="32"/>
      <c r="BT70" s="32"/>
    </row>
    <row r="71">
      <c r="A71" s="89">
        <v>9.102126306E9</v>
      </c>
      <c r="B71" s="99" t="s">
        <v>1211</v>
      </c>
      <c r="C71" s="142" t="s">
        <v>1212</v>
      </c>
      <c r="D71" s="142" t="s">
        <v>1213</v>
      </c>
      <c r="E71" s="92" t="s">
        <v>1214</v>
      </c>
      <c r="F71" s="93" t="s">
        <v>283</v>
      </c>
      <c r="G71" s="94" t="s">
        <v>416</v>
      </c>
      <c r="H71" s="396"/>
      <c r="I71" s="96" t="s">
        <v>733</v>
      </c>
      <c r="J71" s="97" t="s">
        <v>720</v>
      </c>
      <c r="K71" s="98" t="s">
        <v>734</v>
      </c>
      <c r="L71" s="99" t="s">
        <v>444</v>
      </c>
      <c r="M71" s="99" t="s">
        <v>164</v>
      </c>
      <c r="N71" s="100"/>
      <c r="O71" s="101"/>
      <c r="P71" s="335">
        <v>46057.0</v>
      </c>
      <c r="Q71" s="253">
        <v>46058.0</v>
      </c>
      <c r="R71" s="100">
        <v>46062.0</v>
      </c>
      <c r="S71" s="104" t="s">
        <v>93</v>
      </c>
      <c r="T71" s="104" t="s">
        <v>93</v>
      </c>
      <c r="U71" s="104" t="s">
        <v>93</v>
      </c>
      <c r="V71" s="255" t="s">
        <v>1215</v>
      </c>
      <c r="W71" s="134">
        <v>46082.0</v>
      </c>
      <c r="X71" s="104" t="s">
        <v>93</v>
      </c>
      <c r="Y71" s="107"/>
      <c r="Z71" s="108"/>
      <c r="AA71" s="109"/>
      <c r="AB71" s="110" t="s">
        <v>1216</v>
      </c>
      <c r="AC71" s="99">
        <v>1.0</v>
      </c>
      <c r="AD71" s="99">
        <v>0.0</v>
      </c>
      <c r="AE71" s="99">
        <v>2.0</v>
      </c>
      <c r="AF71" s="256">
        <v>2.0</v>
      </c>
      <c r="AG71" s="256">
        <v>2.0</v>
      </c>
      <c r="AH71" s="112">
        <f t="shared" si="16"/>
        <v>0</v>
      </c>
      <c r="AI71" s="113">
        <f t="shared" si="13"/>
        <v>1</v>
      </c>
      <c r="AJ71" s="114">
        <v>1.0</v>
      </c>
      <c r="AK71" s="100">
        <v>46075.0</v>
      </c>
      <c r="AL71" s="100">
        <v>46080.0</v>
      </c>
      <c r="AM71" s="115"/>
      <c r="AN71" s="116"/>
      <c r="AO71" s="99"/>
      <c r="AP71" s="126" t="s">
        <v>1217</v>
      </c>
      <c r="AQ71" s="118" t="s">
        <v>1218</v>
      </c>
      <c r="AR71" s="117" t="s">
        <v>1219</v>
      </c>
      <c r="AS71" s="119"/>
      <c r="AT71" s="119"/>
      <c r="AU71" s="120">
        <f>VLOOKUP(I71,DADOS!B:C,2,0)</f>
        <v>2303</v>
      </c>
      <c r="AV71" s="121">
        <f t="shared" si="14"/>
        <v>4960</v>
      </c>
      <c r="AW71" s="122"/>
      <c r="AX71" s="122"/>
      <c r="AY71" s="92"/>
      <c r="AZ71" s="123"/>
      <c r="BA71" s="124" t="s">
        <v>337</v>
      </c>
      <c r="BB71" s="125" t="s">
        <v>1220</v>
      </c>
      <c r="BC71" s="126"/>
      <c r="BD71" s="126"/>
      <c r="BE71" s="126"/>
      <c r="BF71" s="126"/>
      <c r="BG71" s="127">
        <f t="shared" si="15"/>
        <v>0</v>
      </c>
      <c r="BH71" s="126"/>
      <c r="BI71" s="126" t="s">
        <v>1217</v>
      </c>
      <c r="BJ71" s="128" t="s">
        <v>1221</v>
      </c>
      <c r="BK71" s="105" t="s">
        <v>429</v>
      </c>
      <c r="BL71" s="129"/>
      <c r="BM71" s="129"/>
      <c r="BN71" s="36"/>
      <c r="BO71" s="130" t="s">
        <v>554</v>
      </c>
      <c r="BP71" s="32"/>
      <c r="BQ71" s="32"/>
      <c r="BR71" s="131"/>
      <c r="BS71" s="32"/>
      <c r="BT71" s="32"/>
    </row>
    <row r="72">
      <c r="A72" s="89">
        <v>9.101923317E9</v>
      </c>
      <c r="B72" s="99" t="s">
        <v>1222</v>
      </c>
      <c r="C72" s="397"/>
      <c r="D72" s="397"/>
      <c r="E72" s="92" t="s">
        <v>1223</v>
      </c>
      <c r="F72" s="93" t="s">
        <v>386</v>
      </c>
      <c r="G72" s="94" t="s">
        <v>458</v>
      </c>
      <c r="H72" s="95"/>
      <c r="I72" s="96" t="s">
        <v>496</v>
      </c>
      <c r="J72" s="97" t="s">
        <v>720</v>
      </c>
      <c r="K72" s="98" t="s">
        <v>608</v>
      </c>
      <c r="L72" s="99" t="s">
        <v>16</v>
      </c>
      <c r="M72" s="99" t="s">
        <v>105</v>
      </c>
      <c r="N72" s="100"/>
      <c r="O72" s="101"/>
      <c r="P72" s="392">
        <v>46059.0</v>
      </c>
      <c r="Q72" s="398">
        <v>46059.0</v>
      </c>
      <c r="R72" s="100">
        <v>46063.0</v>
      </c>
      <c r="S72" s="104" t="s">
        <v>93</v>
      </c>
      <c r="T72" s="104" t="s">
        <v>93</v>
      </c>
      <c r="U72" s="104" t="s">
        <v>93</v>
      </c>
      <c r="V72" s="105" t="str">
        <f t="shared" ref="V72:W72" si="21">X72</f>
        <v>2026-16086</v>
      </c>
      <c r="W72" s="106">
        <f t="shared" si="21"/>
        <v>46078</v>
      </c>
      <c r="X72" s="104" t="s">
        <v>1224</v>
      </c>
      <c r="Y72" s="107">
        <v>46078.0</v>
      </c>
      <c r="Z72" s="108" t="s">
        <v>448</v>
      </c>
      <c r="AA72" s="109"/>
      <c r="AB72" s="110"/>
      <c r="AC72" s="99">
        <v>1.0</v>
      </c>
      <c r="AD72" s="99"/>
      <c r="AE72" s="99">
        <v>0.0</v>
      </c>
      <c r="AF72" s="111"/>
      <c r="AG72" s="111"/>
      <c r="AH72" s="112">
        <f t="shared" si="16"/>
        <v>0</v>
      </c>
      <c r="AI72" s="113">
        <f t="shared" si="13"/>
        <v>0</v>
      </c>
      <c r="AJ72" s="114">
        <v>1.0</v>
      </c>
      <c r="AK72" s="100">
        <v>46078.0</v>
      </c>
      <c r="AL72" s="100">
        <v>46078.0</v>
      </c>
      <c r="AM72" s="115"/>
      <c r="AN72" s="116"/>
      <c r="AO72" s="99"/>
      <c r="AP72" s="126" t="s">
        <v>1225</v>
      </c>
      <c r="AQ72" s="390" t="s">
        <v>1226</v>
      </c>
      <c r="AR72" s="117" t="s">
        <v>1227</v>
      </c>
      <c r="AS72" s="119"/>
      <c r="AT72" s="119"/>
      <c r="AU72" s="120">
        <f>VLOOKUP(I72,DADOS!B:C,2,0)</f>
        <v>2300</v>
      </c>
      <c r="AV72" s="121">
        <f t="shared" si="14"/>
        <v>0</v>
      </c>
      <c r="AW72" s="122"/>
      <c r="AX72" s="122">
        <v>0.488</v>
      </c>
      <c r="AY72" s="92"/>
      <c r="AZ72" s="123"/>
      <c r="BA72" s="124" t="s">
        <v>1228</v>
      </c>
      <c r="BB72" s="125" t="s">
        <v>1229</v>
      </c>
      <c r="BC72" s="126"/>
      <c r="BD72" s="126"/>
      <c r="BE72" s="126"/>
      <c r="BF72" s="126"/>
      <c r="BG72" s="127">
        <f t="shared" si="15"/>
        <v>0</v>
      </c>
      <c r="BH72" s="126"/>
      <c r="BI72" s="126" t="s">
        <v>1225</v>
      </c>
      <c r="BJ72" s="128" t="s">
        <v>1230</v>
      </c>
      <c r="BK72" s="105" t="s">
        <v>429</v>
      </c>
      <c r="BL72" s="129"/>
      <c r="BM72" s="129"/>
      <c r="BN72" s="36"/>
      <c r="BO72" s="130"/>
      <c r="BP72" s="32"/>
      <c r="BQ72" s="32"/>
      <c r="BR72" s="131"/>
      <c r="BS72" s="32"/>
      <c r="BT72" s="32"/>
    </row>
    <row r="73">
      <c r="A73" s="89">
        <v>9.102156156E9</v>
      </c>
      <c r="B73" s="99" t="s">
        <v>1231</v>
      </c>
      <c r="C73" s="91" t="s">
        <v>93</v>
      </c>
      <c r="D73" s="91" t="s">
        <v>93</v>
      </c>
      <c r="E73" s="92" t="s">
        <v>1232</v>
      </c>
      <c r="F73" s="92" t="s">
        <v>386</v>
      </c>
      <c r="G73" s="94" t="s">
        <v>416</v>
      </c>
      <c r="H73" s="95"/>
      <c r="I73" s="96" t="s">
        <v>496</v>
      </c>
      <c r="J73" s="97" t="s">
        <v>720</v>
      </c>
      <c r="K73" s="98" t="s">
        <v>497</v>
      </c>
      <c r="L73" s="132" t="s">
        <v>4</v>
      </c>
      <c r="M73" s="99" t="s">
        <v>105</v>
      </c>
      <c r="N73" s="100"/>
      <c r="O73" s="101"/>
      <c r="P73" s="393">
        <v>46056.0</v>
      </c>
      <c r="Q73" s="253">
        <v>46056.0</v>
      </c>
      <c r="R73" s="100">
        <v>46063.0</v>
      </c>
      <c r="S73" s="254" t="s">
        <v>1233</v>
      </c>
      <c r="T73" s="134">
        <v>46082.0</v>
      </c>
      <c r="U73" s="104" t="s">
        <v>93</v>
      </c>
      <c r="V73" s="255" t="str">
        <f t="shared" ref="V73:W73" si="22">X73</f>
        <v>2026-16642</v>
      </c>
      <c r="W73" s="106">
        <f t="shared" si="22"/>
        <v>46079</v>
      </c>
      <c r="X73" s="254" t="s">
        <v>1234</v>
      </c>
      <c r="Y73" s="107">
        <v>46079.0</v>
      </c>
      <c r="Z73" s="108" t="s">
        <v>448</v>
      </c>
      <c r="AA73" s="109"/>
      <c r="AB73" s="110" t="s">
        <v>1235</v>
      </c>
      <c r="AC73" s="99">
        <v>0.0</v>
      </c>
      <c r="AD73" s="99">
        <v>0.0</v>
      </c>
      <c r="AE73" s="99">
        <v>7.0</v>
      </c>
      <c r="AF73" s="256">
        <v>7.0</v>
      </c>
      <c r="AG73" s="111"/>
      <c r="AH73" s="112">
        <f t="shared" si="16"/>
        <v>7</v>
      </c>
      <c r="AI73" s="113">
        <f t="shared" si="13"/>
        <v>0</v>
      </c>
      <c r="AJ73" s="114">
        <v>1.0</v>
      </c>
      <c r="AK73" s="100">
        <v>46073.0</v>
      </c>
      <c r="AL73" s="100">
        <v>46079.0</v>
      </c>
      <c r="AM73" s="115"/>
      <c r="AN73" s="116"/>
      <c r="AO73" s="99"/>
      <c r="AP73" s="117" t="s">
        <v>1236</v>
      </c>
      <c r="AQ73" s="199" t="s">
        <v>1237</v>
      </c>
      <c r="AR73" s="117" t="s">
        <v>1238</v>
      </c>
      <c r="AS73" s="119">
        <v>100823.76</v>
      </c>
      <c r="AT73" s="119"/>
      <c r="AU73" s="120">
        <f>VLOOKUP(I73,DADOS!B:C,2,0)</f>
        <v>2300</v>
      </c>
      <c r="AV73" s="121">
        <f t="shared" si="14"/>
        <v>17360</v>
      </c>
      <c r="AW73" s="122"/>
      <c r="AX73" s="122">
        <v>0.338</v>
      </c>
      <c r="AY73" s="92"/>
      <c r="AZ73" s="123"/>
      <c r="BA73" s="124" t="s">
        <v>1239</v>
      </c>
      <c r="BB73" s="125" t="s">
        <v>1240</v>
      </c>
      <c r="BC73" s="126" t="s">
        <v>1241</v>
      </c>
      <c r="BD73" s="126" t="s">
        <v>1242</v>
      </c>
      <c r="BE73" s="126" t="s">
        <v>1243</v>
      </c>
      <c r="BF73" s="126" t="s">
        <v>1244</v>
      </c>
      <c r="BG73" s="127" t="s">
        <v>1245</v>
      </c>
      <c r="BH73" s="126" t="s">
        <v>1246</v>
      </c>
      <c r="BI73" s="126" t="s">
        <v>1236</v>
      </c>
      <c r="BJ73" s="128" t="s">
        <v>1247</v>
      </c>
      <c r="BK73" s="104" t="s">
        <v>429</v>
      </c>
      <c r="BL73" s="129"/>
      <c r="BM73" s="129"/>
      <c r="BN73" s="36"/>
      <c r="BO73" s="130"/>
      <c r="BP73" s="32"/>
      <c r="BQ73" s="32"/>
      <c r="BR73" s="131"/>
      <c r="BS73" s="399"/>
      <c r="BT73" s="399"/>
    </row>
    <row r="74">
      <c r="A74" s="89">
        <v>9.102039793E9</v>
      </c>
      <c r="B74" s="99" t="s">
        <v>1248</v>
      </c>
      <c r="C74" s="264" t="s">
        <v>93</v>
      </c>
      <c r="D74" s="264" t="s">
        <v>93</v>
      </c>
      <c r="E74" s="92" t="s">
        <v>1249</v>
      </c>
      <c r="F74" s="93" t="s">
        <v>386</v>
      </c>
      <c r="G74" s="94" t="s">
        <v>416</v>
      </c>
      <c r="H74" s="95"/>
      <c r="I74" s="96" t="s">
        <v>773</v>
      </c>
      <c r="J74" s="97" t="s">
        <v>634</v>
      </c>
      <c r="K74" s="98" t="s">
        <v>585</v>
      </c>
      <c r="L74" s="132" t="s">
        <v>4</v>
      </c>
      <c r="M74" s="99" t="s">
        <v>91</v>
      </c>
      <c r="N74" s="100"/>
      <c r="O74" s="101"/>
      <c r="P74" s="252">
        <v>46058.0</v>
      </c>
      <c r="Q74" s="253">
        <v>46059.0</v>
      </c>
      <c r="R74" s="100">
        <v>46063.0</v>
      </c>
      <c r="S74" s="254" t="s">
        <v>1250</v>
      </c>
      <c r="T74" s="134">
        <v>46082.0</v>
      </c>
      <c r="U74" s="104" t="s">
        <v>93</v>
      </c>
      <c r="V74" s="259" t="str">
        <f>S74</f>
        <v>2026-16819</v>
      </c>
      <c r="W74" s="134">
        <v>46082.0</v>
      </c>
      <c r="X74" s="104" t="s">
        <v>93</v>
      </c>
      <c r="Y74" s="107"/>
      <c r="Z74" s="108"/>
      <c r="AA74" s="109"/>
      <c r="AB74" s="110" t="s">
        <v>1251</v>
      </c>
      <c r="AC74" s="99">
        <v>1.0</v>
      </c>
      <c r="AD74" s="99">
        <v>0.0</v>
      </c>
      <c r="AE74" s="99">
        <v>3.0</v>
      </c>
      <c r="AF74" s="256">
        <v>3.0</v>
      </c>
      <c r="AG74" s="111"/>
      <c r="AH74" s="112">
        <f t="shared" si="16"/>
        <v>3</v>
      </c>
      <c r="AI74" s="113">
        <f t="shared" si="13"/>
        <v>0</v>
      </c>
      <c r="AJ74" s="114">
        <v>1.0</v>
      </c>
      <c r="AK74" s="100">
        <v>46071.0</v>
      </c>
      <c r="AL74" s="100">
        <v>46078.0</v>
      </c>
      <c r="AM74" s="115"/>
      <c r="AN74" s="116"/>
      <c r="AO74" s="99"/>
      <c r="AP74" s="126" t="s">
        <v>1252</v>
      </c>
      <c r="AQ74" s="118" t="s">
        <v>1253</v>
      </c>
      <c r="AR74" s="117" t="s">
        <v>1254</v>
      </c>
      <c r="AS74" s="119"/>
      <c r="AT74" s="119"/>
      <c r="AU74" s="120">
        <f>VLOOKUP(I74,DADOS!B:C,2,0)</f>
        <v>2305</v>
      </c>
      <c r="AV74" s="121">
        <f t="shared" si="14"/>
        <v>7440</v>
      </c>
      <c r="AW74" s="122"/>
      <c r="AX74" s="122"/>
      <c r="AY74" s="92"/>
      <c r="AZ74" s="123"/>
      <c r="BA74" s="124" t="s">
        <v>1255</v>
      </c>
      <c r="BB74" s="125" t="s">
        <v>1256</v>
      </c>
      <c r="BC74" s="126"/>
      <c r="BD74" s="126"/>
      <c r="BE74" s="126"/>
      <c r="BF74" s="126"/>
      <c r="BG74" s="127">
        <f t="shared" ref="BG74:BG96" si="24">BD74*BF74</f>
        <v>0</v>
      </c>
      <c r="BH74" s="126"/>
      <c r="BI74" s="126" t="s">
        <v>1252</v>
      </c>
      <c r="BJ74" s="128" t="s">
        <v>1257</v>
      </c>
      <c r="BK74" s="104" t="s">
        <v>429</v>
      </c>
      <c r="BL74" s="129"/>
      <c r="BM74" s="129"/>
      <c r="BN74" s="36"/>
      <c r="BO74" s="130"/>
      <c r="BP74" s="32"/>
      <c r="BQ74" s="32"/>
      <c r="BR74" s="131"/>
      <c r="BS74" s="32"/>
      <c r="BT74" s="32"/>
    </row>
    <row r="75">
      <c r="A75" s="140">
        <v>9.102107666E9</v>
      </c>
      <c r="B75" s="383" t="s">
        <v>1258</v>
      </c>
      <c r="C75" s="362"/>
      <c r="D75" s="362"/>
      <c r="E75" s="172" t="s">
        <v>1259</v>
      </c>
      <c r="F75" s="144" t="s">
        <v>386</v>
      </c>
      <c r="G75" s="145" t="s">
        <v>124</v>
      </c>
      <c r="H75" s="146" t="s">
        <v>1260</v>
      </c>
      <c r="I75" s="147" t="s">
        <v>496</v>
      </c>
      <c r="J75" s="148" t="s">
        <v>720</v>
      </c>
      <c r="K75" s="149" t="s">
        <v>734</v>
      </c>
      <c r="L75" s="400" t="s">
        <v>4</v>
      </c>
      <c r="M75" s="141" t="s">
        <v>1261</v>
      </c>
      <c r="N75" s="401">
        <v>46060.0</v>
      </c>
      <c r="O75" s="384" t="s">
        <v>1262</v>
      </c>
      <c r="P75" s="195"/>
      <c r="Q75" s="402"/>
      <c r="R75" s="150">
        <v>46063.0</v>
      </c>
      <c r="S75" s="371" t="s">
        <v>1263</v>
      </c>
      <c r="T75" s="154">
        <v>46082.0</v>
      </c>
      <c r="U75" s="153" t="s">
        <v>93</v>
      </c>
      <c r="V75" s="155" t="str">
        <f t="shared" ref="V75:W75" si="23">X75</f>
        <v>2026-16050</v>
      </c>
      <c r="W75" s="156" t="str">
        <f t="shared" si="23"/>
        <v/>
      </c>
      <c r="X75" s="153" t="s">
        <v>1264</v>
      </c>
      <c r="Y75" s="157"/>
      <c r="Z75" s="158" t="s">
        <v>162</v>
      </c>
      <c r="AA75" s="159"/>
      <c r="AB75" s="160"/>
      <c r="AC75" s="141">
        <v>0.0</v>
      </c>
      <c r="AD75" s="141">
        <v>0.0</v>
      </c>
      <c r="AE75" s="141">
        <v>0.0</v>
      </c>
      <c r="AF75" s="161"/>
      <c r="AG75" s="161"/>
      <c r="AH75" s="162">
        <f t="shared" si="16"/>
        <v>0</v>
      </c>
      <c r="AI75" s="163">
        <f t="shared" si="13"/>
        <v>0</v>
      </c>
      <c r="AJ75" s="189">
        <v>1.0</v>
      </c>
      <c r="AK75" s="150">
        <v>46072.0</v>
      </c>
      <c r="AL75" s="150">
        <v>46072.0</v>
      </c>
      <c r="AM75" s="164"/>
      <c r="AN75" s="165"/>
      <c r="AO75" s="141"/>
      <c r="AP75" s="176" t="s">
        <v>1265</v>
      </c>
      <c r="AQ75" s="191" t="s">
        <v>1266</v>
      </c>
      <c r="AR75" s="166" t="s">
        <v>1267</v>
      </c>
      <c r="AS75" s="168"/>
      <c r="AT75" s="168"/>
      <c r="AU75" s="169">
        <f>VLOOKUP(I75,DADOS!B:C,2,0)</f>
        <v>2300</v>
      </c>
      <c r="AV75" s="170">
        <f t="shared" si="14"/>
        <v>0</v>
      </c>
      <c r="AW75" s="171"/>
      <c r="AX75" s="171"/>
      <c r="AY75" s="172"/>
      <c r="AZ75" s="173"/>
      <c r="BA75" s="174" t="s">
        <v>337</v>
      </c>
      <c r="BB75" s="175" t="s">
        <v>1268</v>
      </c>
      <c r="BC75" s="176"/>
      <c r="BD75" s="176"/>
      <c r="BE75" s="176"/>
      <c r="BF75" s="176"/>
      <c r="BG75" s="177">
        <f t="shared" si="24"/>
        <v>0</v>
      </c>
      <c r="BH75" s="176"/>
      <c r="BI75" s="176" t="s">
        <v>1265</v>
      </c>
      <c r="BJ75" s="178" t="s">
        <v>1269</v>
      </c>
      <c r="BK75" s="179" t="s">
        <v>102</v>
      </c>
      <c r="BL75" s="129"/>
      <c r="BM75" s="129"/>
      <c r="BN75" s="36"/>
      <c r="BO75" s="130"/>
      <c r="BP75" s="32"/>
      <c r="BQ75" s="32"/>
      <c r="BR75" s="131"/>
      <c r="BS75" s="32"/>
      <c r="BT75" s="32"/>
    </row>
    <row r="76">
      <c r="A76" s="140">
        <v>9.101689592E9</v>
      </c>
      <c r="B76" s="383" t="s">
        <v>1270</v>
      </c>
      <c r="C76" s="142" t="s">
        <v>1271</v>
      </c>
      <c r="D76" s="142" t="s">
        <v>1272</v>
      </c>
      <c r="E76" s="172" t="s">
        <v>1273</v>
      </c>
      <c r="F76" s="144" t="s">
        <v>129</v>
      </c>
      <c r="G76" s="145" t="s">
        <v>162</v>
      </c>
      <c r="H76" s="146" t="s">
        <v>1274</v>
      </c>
      <c r="I76" s="147" t="s">
        <v>773</v>
      </c>
      <c r="J76" s="148" t="s">
        <v>634</v>
      </c>
      <c r="K76" s="149" t="s">
        <v>131</v>
      </c>
      <c r="L76" s="141" t="s">
        <v>16</v>
      </c>
      <c r="M76" s="141" t="s">
        <v>91</v>
      </c>
      <c r="N76" s="150"/>
      <c r="O76" s="151"/>
      <c r="P76" s="385">
        <v>46058.0</v>
      </c>
      <c r="Q76" s="370">
        <v>46058.0</v>
      </c>
      <c r="R76" s="150">
        <v>46062.0</v>
      </c>
      <c r="S76" s="371" t="s">
        <v>1275</v>
      </c>
      <c r="T76" s="154">
        <v>46082.0</v>
      </c>
      <c r="U76" s="153" t="s">
        <v>93</v>
      </c>
      <c r="V76" s="403" t="str">
        <f>S76</f>
        <v>2026-16836</v>
      </c>
      <c r="W76" s="154">
        <v>46082.0</v>
      </c>
      <c r="X76" s="153" t="s">
        <v>93</v>
      </c>
      <c r="Y76" s="157"/>
      <c r="Z76" s="158"/>
      <c r="AA76" s="159"/>
      <c r="AB76" s="160" t="s">
        <v>1276</v>
      </c>
      <c r="AC76" s="141">
        <v>1.0</v>
      </c>
      <c r="AD76" s="141"/>
      <c r="AE76" s="141">
        <v>2.0</v>
      </c>
      <c r="AF76" s="161"/>
      <c r="AG76" s="161"/>
      <c r="AH76" s="162">
        <f t="shared" si="16"/>
        <v>2</v>
      </c>
      <c r="AI76" s="163">
        <f t="shared" si="13"/>
        <v>0</v>
      </c>
      <c r="AJ76" s="189">
        <v>1.0</v>
      </c>
      <c r="AK76" s="150">
        <v>46072.0</v>
      </c>
      <c r="AL76" s="150">
        <v>46078.0</v>
      </c>
      <c r="AM76" s="164"/>
      <c r="AN76" s="165"/>
      <c r="AO76" s="141"/>
      <c r="AP76" s="176" t="s">
        <v>1277</v>
      </c>
      <c r="AQ76" s="191" t="s">
        <v>1278</v>
      </c>
      <c r="AR76" s="166" t="s">
        <v>1279</v>
      </c>
      <c r="AS76" s="168"/>
      <c r="AT76" s="168"/>
      <c r="AU76" s="169">
        <f>VLOOKUP(I76,DADOS!B:C,2,0)</f>
        <v>2305</v>
      </c>
      <c r="AV76" s="170">
        <f t="shared" si="14"/>
        <v>4960</v>
      </c>
      <c r="AW76" s="171"/>
      <c r="AX76" s="171"/>
      <c r="AY76" s="172"/>
      <c r="AZ76" s="173"/>
      <c r="BA76" s="174" t="s">
        <v>178</v>
      </c>
      <c r="BB76" s="175" t="s">
        <v>1280</v>
      </c>
      <c r="BC76" s="176"/>
      <c r="BD76" s="176"/>
      <c r="BE76" s="176"/>
      <c r="BF76" s="176"/>
      <c r="BG76" s="177">
        <f t="shared" si="24"/>
        <v>0</v>
      </c>
      <c r="BH76" s="176"/>
      <c r="BI76" s="176" t="s">
        <v>1277</v>
      </c>
      <c r="BJ76" s="178" t="s">
        <v>1281</v>
      </c>
      <c r="BK76" s="179" t="s">
        <v>102</v>
      </c>
      <c r="BL76" s="129"/>
      <c r="BM76" s="129"/>
      <c r="BN76" s="36"/>
      <c r="BO76" s="130"/>
      <c r="BP76" s="32"/>
      <c r="BQ76" s="32"/>
      <c r="BR76" s="131"/>
      <c r="BS76" s="32"/>
      <c r="BT76" s="32"/>
    </row>
    <row r="77">
      <c r="A77" s="89">
        <v>9.102125249E9</v>
      </c>
      <c r="B77" s="99" t="s">
        <v>1282</v>
      </c>
      <c r="C77" s="91" t="s">
        <v>93</v>
      </c>
      <c r="D77" s="91" t="s">
        <v>93</v>
      </c>
      <c r="E77" s="92" t="s">
        <v>1283</v>
      </c>
      <c r="F77" s="93" t="s">
        <v>386</v>
      </c>
      <c r="G77" s="94" t="s">
        <v>416</v>
      </c>
      <c r="H77" s="184" t="s">
        <v>1284</v>
      </c>
      <c r="I77" s="96" t="s">
        <v>512</v>
      </c>
      <c r="J77" s="97" t="s">
        <v>720</v>
      </c>
      <c r="K77" s="98" t="s">
        <v>608</v>
      </c>
      <c r="L77" s="99" t="s">
        <v>1285</v>
      </c>
      <c r="M77" s="99" t="s">
        <v>91</v>
      </c>
      <c r="N77" s="100"/>
      <c r="O77" s="101"/>
      <c r="P77" s="392">
        <v>46059.0</v>
      </c>
      <c r="Q77" s="398">
        <v>46059.0</v>
      </c>
      <c r="R77" s="100">
        <v>46063.0</v>
      </c>
      <c r="S77" s="104" t="s">
        <v>93</v>
      </c>
      <c r="T77" s="104" t="s">
        <v>93</v>
      </c>
      <c r="U77" s="104" t="s">
        <v>93</v>
      </c>
      <c r="V77" s="255" t="s">
        <v>1286</v>
      </c>
      <c r="W77" s="134">
        <v>46082.0</v>
      </c>
      <c r="X77" s="104" t="s">
        <v>93</v>
      </c>
      <c r="Y77" s="107"/>
      <c r="Z77" s="108"/>
      <c r="AA77" s="109"/>
      <c r="AB77" s="110"/>
      <c r="AC77" s="99">
        <v>1.0</v>
      </c>
      <c r="AD77" s="99">
        <v>0.0</v>
      </c>
      <c r="AE77" s="99">
        <v>4.0</v>
      </c>
      <c r="AF77" s="256">
        <v>4.0</v>
      </c>
      <c r="AG77" s="256">
        <v>4.0</v>
      </c>
      <c r="AH77" s="112">
        <f t="shared" si="16"/>
        <v>0</v>
      </c>
      <c r="AI77" s="113">
        <f t="shared" si="13"/>
        <v>1</v>
      </c>
      <c r="AJ77" s="114">
        <v>1.0</v>
      </c>
      <c r="AK77" s="100">
        <v>46072.0</v>
      </c>
      <c r="AL77" s="100">
        <v>46078.0</v>
      </c>
      <c r="AM77" s="115"/>
      <c r="AN77" s="116"/>
      <c r="AO77" s="99"/>
      <c r="AP77" s="126" t="s">
        <v>1287</v>
      </c>
      <c r="AQ77" s="118" t="s">
        <v>1288</v>
      </c>
      <c r="AR77" s="117" t="s">
        <v>1289</v>
      </c>
      <c r="AS77" s="119"/>
      <c r="AT77" s="119"/>
      <c r="AU77" s="120">
        <f>VLOOKUP(I77,DADOS!B:C,2,0)</f>
        <v>2299</v>
      </c>
      <c r="AV77" s="121">
        <f t="shared" si="14"/>
        <v>9920</v>
      </c>
      <c r="AW77" s="122">
        <v>0.186</v>
      </c>
      <c r="AX77" s="122"/>
      <c r="AY77" s="92"/>
      <c r="AZ77" s="123"/>
      <c r="BA77" s="124" t="s">
        <v>1239</v>
      </c>
      <c r="BB77" s="125" t="s">
        <v>1290</v>
      </c>
      <c r="BC77" s="126"/>
      <c r="BD77" s="126"/>
      <c r="BE77" s="126"/>
      <c r="BF77" s="126"/>
      <c r="BG77" s="127">
        <f t="shared" si="24"/>
        <v>0</v>
      </c>
      <c r="BH77" s="126"/>
      <c r="BI77" s="126" t="s">
        <v>1287</v>
      </c>
      <c r="BJ77" s="128" t="s">
        <v>1291</v>
      </c>
      <c r="BK77" s="105" t="s">
        <v>429</v>
      </c>
      <c r="BL77" s="129"/>
      <c r="BM77" s="129"/>
      <c r="BN77" s="36"/>
      <c r="BO77" s="130"/>
      <c r="BP77" s="32"/>
      <c r="BQ77" s="32"/>
      <c r="BR77" s="131"/>
      <c r="BS77" s="32"/>
      <c r="BT77" s="32"/>
    </row>
    <row r="78">
      <c r="A78" s="261">
        <v>9.10214467E9</v>
      </c>
      <c r="B78" s="262" t="s">
        <v>1292</v>
      </c>
      <c r="C78" s="264" t="s">
        <v>93</v>
      </c>
      <c r="D78" s="264" t="s">
        <v>93</v>
      </c>
      <c r="E78" s="265" t="s">
        <v>607</v>
      </c>
      <c r="F78" s="305" t="s">
        <v>386</v>
      </c>
      <c r="G78" s="266" t="s">
        <v>495</v>
      </c>
      <c r="H78" s="302"/>
      <c r="I78" s="268" t="s">
        <v>496</v>
      </c>
      <c r="J78" s="269" t="s">
        <v>720</v>
      </c>
      <c r="K78" s="270" t="s">
        <v>497</v>
      </c>
      <c r="L78" s="132" t="s">
        <v>4</v>
      </c>
      <c r="M78" s="262" t="s">
        <v>559</v>
      </c>
      <c r="N78" s="271"/>
      <c r="O78" s="272"/>
      <c r="P78" s="356">
        <v>46055.0</v>
      </c>
      <c r="Q78" s="341">
        <v>46055.0</v>
      </c>
      <c r="R78" s="271">
        <v>46063.0</v>
      </c>
      <c r="S78" s="275" t="s">
        <v>93</v>
      </c>
      <c r="T78" s="275" t="s">
        <v>93</v>
      </c>
      <c r="U78" s="275" t="s">
        <v>93</v>
      </c>
      <c r="V78" s="255" t="s">
        <v>1293</v>
      </c>
      <c r="W78" s="274">
        <v>46082.0</v>
      </c>
      <c r="X78" s="275" t="s">
        <v>93</v>
      </c>
      <c r="Y78" s="276"/>
      <c r="Z78" s="277"/>
      <c r="AA78" s="278"/>
      <c r="AB78" s="304" t="s">
        <v>1294</v>
      </c>
      <c r="AC78" s="262">
        <v>1.0</v>
      </c>
      <c r="AD78" s="262">
        <v>0.0</v>
      </c>
      <c r="AE78" s="262">
        <v>3.0</v>
      </c>
      <c r="AF78" s="280">
        <v>3.0</v>
      </c>
      <c r="AG78" s="280">
        <v>3.0</v>
      </c>
      <c r="AH78" s="281">
        <f t="shared" si="16"/>
        <v>0</v>
      </c>
      <c r="AI78" s="282">
        <f t="shared" si="13"/>
        <v>1</v>
      </c>
      <c r="AJ78" s="283">
        <v>1.0</v>
      </c>
      <c r="AK78" s="271">
        <v>46073.0</v>
      </c>
      <c r="AL78" s="271">
        <v>46077.0</v>
      </c>
      <c r="AM78" s="284"/>
      <c r="AN78" s="285">
        <v>46058.0</v>
      </c>
      <c r="AO78" s="262" t="s">
        <v>1295</v>
      </c>
      <c r="AP78" s="294" t="s">
        <v>1296</v>
      </c>
      <c r="AQ78" s="118" t="s">
        <v>1297</v>
      </c>
      <c r="AR78" s="286" t="s">
        <v>1298</v>
      </c>
      <c r="AS78" s="287"/>
      <c r="AT78" s="287"/>
      <c r="AU78" s="288">
        <f>VLOOKUP(I78,DADOS!B:C,2,0)</f>
        <v>2300</v>
      </c>
      <c r="AV78" s="289">
        <f t="shared" si="14"/>
        <v>7440</v>
      </c>
      <c r="AW78" s="290"/>
      <c r="AX78" s="290"/>
      <c r="AY78" s="265"/>
      <c r="AZ78" s="291"/>
      <c r="BA78" s="292" t="s">
        <v>616</v>
      </c>
      <c r="BB78" s="293" t="s">
        <v>1299</v>
      </c>
      <c r="BC78" s="294"/>
      <c r="BD78" s="294"/>
      <c r="BE78" s="294"/>
      <c r="BF78" s="294"/>
      <c r="BG78" s="334">
        <f t="shared" si="24"/>
        <v>0</v>
      </c>
      <c r="BH78" s="294"/>
      <c r="BI78" s="294" t="s">
        <v>1296</v>
      </c>
      <c r="BJ78" s="295" t="s">
        <v>1300</v>
      </c>
      <c r="BK78" s="296" t="s">
        <v>429</v>
      </c>
      <c r="BL78" s="297"/>
      <c r="BM78" s="297"/>
      <c r="BN78" s="298"/>
      <c r="BO78" s="299"/>
      <c r="BP78" s="300"/>
      <c r="BQ78" s="300"/>
      <c r="BR78" s="300"/>
      <c r="BS78" s="32"/>
      <c r="BT78" s="32"/>
    </row>
    <row r="79">
      <c r="A79" s="89">
        <v>9.102144775E9</v>
      </c>
      <c r="B79" s="99" t="s">
        <v>1301</v>
      </c>
      <c r="C79" s="91" t="s">
        <v>1302</v>
      </c>
      <c r="D79" s="91" t="s">
        <v>1303</v>
      </c>
      <c r="E79" s="92" t="s">
        <v>1304</v>
      </c>
      <c r="F79" s="93" t="s">
        <v>129</v>
      </c>
      <c r="G79" s="94" t="s">
        <v>416</v>
      </c>
      <c r="H79" s="95" t="s">
        <v>1305</v>
      </c>
      <c r="I79" s="96" t="s">
        <v>412</v>
      </c>
      <c r="J79" s="97" t="s">
        <v>720</v>
      </c>
      <c r="K79" s="98" t="s">
        <v>131</v>
      </c>
      <c r="L79" s="99" t="s">
        <v>11</v>
      </c>
      <c r="M79" s="99" t="s">
        <v>91</v>
      </c>
      <c r="N79" s="100"/>
      <c r="O79" s="101"/>
      <c r="P79" s="252">
        <v>46058.0</v>
      </c>
      <c r="Q79" s="253">
        <v>46058.0</v>
      </c>
      <c r="R79" s="100">
        <v>46062.0</v>
      </c>
      <c r="S79" s="254" t="s">
        <v>1306</v>
      </c>
      <c r="T79" s="134">
        <v>46082.0</v>
      </c>
      <c r="U79" s="104" t="s">
        <v>93</v>
      </c>
      <c r="V79" s="259" t="str">
        <f>S79</f>
        <v>2026-16847</v>
      </c>
      <c r="W79" s="134">
        <v>46082.0</v>
      </c>
      <c r="X79" s="104" t="s">
        <v>93</v>
      </c>
      <c r="Y79" s="107"/>
      <c r="Z79" s="108"/>
      <c r="AA79" s="109"/>
      <c r="AB79" s="110" t="s">
        <v>1307</v>
      </c>
      <c r="AC79" s="99">
        <v>1.0</v>
      </c>
      <c r="AD79" s="99"/>
      <c r="AE79" s="99">
        <v>1.0</v>
      </c>
      <c r="AF79" s="256">
        <v>1.0</v>
      </c>
      <c r="AG79" s="256">
        <v>1.0</v>
      </c>
      <c r="AH79" s="112">
        <f t="shared" si="16"/>
        <v>0</v>
      </c>
      <c r="AI79" s="113">
        <f t="shared" si="13"/>
        <v>1</v>
      </c>
      <c r="AJ79" s="114">
        <v>1.0</v>
      </c>
      <c r="AK79" s="100">
        <v>46073.0</v>
      </c>
      <c r="AL79" s="100">
        <v>46078.0</v>
      </c>
      <c r="AM79" s="115"/>
      <c r="AN79" s="116"/>
      <c r="AO79" s="99"/>
      <c r="AP79" s="126" t="s">
        <v>1308</v>
      </c>
      <c r="AQ79" s="118" t="s">
        <v>1309</v>
      </c>
      <c r="AR79" s="117" t="s">
        <v>1310</v>
      </c>
      <c r="AS79" s="119"/>
      <c r="AT79" s="119"/>
      <c r="AU79" s="120">
        <f>VLOOKUP(I79,DADOS!B:C,2,0)</f>
        <v>2332</v>
      </c>
      <c r="AV79" s="121">
        <f t="shared" si="14"/>
        <v>2480</v>
      </c>
      <c r="AW79" s="122"/>
      <c r="AX79" s="122"/>
      <c r="AY79" s="92"/>
      <c r="AZ79" s="123"/>
      <c r="BA79" s="124" t="s">
        <v>140</v>
      </c>
      <c r="BB79" s="125" t="s">
        <v>1187</v>
      </c>
      <c r="BC79" s="126"/>
      <c r="BD79" s="126"/>
      <c r="BE79" s="126"/>
      <c r="BF79" s="126"/>
      <c r="BG79" s="127">
        <f t="shared" si="24"/>
        <v>0</v>
      </c>
      <c r="BH79" s="126"/>
      <c r="BI79" s="126" t="s">
        <v>1308</v>
      </c>
      <c r="BJ79" s="128" t="s">
        <v>1311</v>
      </c>
      <c r="BK79" s="104" t="s">
        <v>429</v>
      </c>
      <c r="BL79" s="129"/>
      <c r="BM79" s="129"/>
      <c r="BN79" s="36"/>
      <c r="BO79" s="130"/>
      <c r="BP79" s="32"/>
      <c r="BQ79" s="32"/>
      <c r="BR79" s="131"/>
      <c r="BS79" s="32"/>
      <c r="BT79" s="32"/>
    </row>
    <row r="80">
      <c r="A80" s="89">
        <v>9.102149269E9</v>
      </c>
      <c r="B80" s="99" t="s">
        <v>1312</v>
      </c>
      <c r="C80" s="91" t="s">
        <v>93</v>
      </c>
      <c r="D80" s="91" t="s">
        <v>93</v>
      </c>
      <c r="E80" s="92" t="s">
        <v>1313</v>
      </c>
      <c r="F80" s="93" t="s">
        <v>129</v>
      </c>
      <c r="G80" s="94" t="s">
        <v>416</v>
      </c>
      <c r="H80" s="184" t="s">
        <v>1284</v>
      </c>
      <c r="I80" s="96" t="s">
        <v>412</v>
      </c>
      <c r="J80" s="97" t="s">
        <v>720</v>
      </c>
      <c r="K80" s="98" t="s">
        <v>131</v>
      </c>
      <c r="L80" s="132" t="s">
        <v>4</v>
      </c>
      <c r="M80" s="99" t="s">
        <v>559</v>
      </c>
      <c r="N80" s="100"/>
      <c r="O80" s="101"/>
      <c r="P80" s="252">
        <v>46058.0</v>
      </c>
      <c r="Q80" s="253">
        <v>46058.0</v>
      </c>
      <c r="R80" s="100">
        <v>46062.0</v>
      </c>
      <c r="S80" s="104" t="s">
        <v>93</v>
      </c>
      <c r="T80" s="104" t="s">
        <v>93</v>
      </c>
      <c r="U80" s="104" t="s">
        <v>93</v>
      </c>
      <c r="V80" s="255" t="s">
        <v>1314</v>
      </c>
      <c r="W80" s="134">
        <v>46082.0</v>
      </c>
      <c r="X80" s="104" t="s">
        <v>93</v>
      </c>
      <c r="Y80" s="107"/>
      <c r="Z80" s="108"/>
      <c r="AA80" s="109"/>
      <c r="AB80" s="110" t="s">
        <v>1315</v>
      </c>
      <c r="AC80" s="99">
        <v>1.0</v>
      </c>
      <c r="AD80" s="99">
        <v>0.0</v>
      </c>
      <c r="AE80" s="99">
        <v>3.0</v>
      </c>
      <c r="AF80" s="256">
        <v>3.0</v>
      </c>
      <c r="AG80" s="256">
        <v>3.0</v>
      </c>
      <c r="AH80" s="112">
        <f t="shared" si="16"/>
        <v>0</v>
      </c>
      <c r="AI80" s="113">
        <f t="shared" si="13"/>
        <v>1</v>
      </c>
      <c r="AJ80" s="114">
        <v>1.0</v>
      </c>
      <c r="AK80" s="100">
        <v>46073.0</v>
      </c>
      <c r="AL80" s="100">
        <v>46079.0</v>
      </c>
      <c r="AM80" s="115"/>
      <c r="AN80" s="116"/>
      <c r="AO80" s="99"/>
      <c r="AP80" s="126" t="s">
        <v>1316</v>
      </c>
      <c r="AQ80" s="118" t="s">
        <v>1317</v>
      </c>
      <c r="AR80" s="117" t="s">
        <v>1318</v>
      </c>
      <c r="AS80" s="119"/>
      <c r="AT80" s="119"/>
      <c r="AU80" s="120">
        <f>VLOOKUP(I80,DADOS!B:C,2,0)</f>
        <v>2332</v>
      </c>
      <c r="AV80" s="121">
        <f t="shared" si="14"/>
        <v>7440</v>
      </c>
      <c r="AW80" s="122"/>
      <c r="AX80" s="122"/>
      <c r="AY80" s="92"/>
      <c r="AZ80" s="123"/>
      <c r="BA80" s="124" t="s">
        <v>140</v>
      </c>
      <c r="BB80" s="125" t="s">
        <v>1319</v>
      </c>
      <c r="BC80" s="126"/>
      <c r="BD80" s="126"/>
      <c r="BE80" s="126"/>
      <c r="BF80" s="126"/>
      <c r="BG80" s="127">
        <f t="shared" si="24"/>
        <v>0</v>
      </c>
      <c r="BH80" s="126"/>
      <c r="BI80" s="126" t="s">
        <v>1316</v>
      </c>
      <c r="BJ80" s="128" t="s">
        <v>1320</v>
      </c>
      <c r="BK80" s="105" t="s">
        <v>429</v>
      </c>
      <c r="BL80" s="129"/>
      <c r="BM80" s="129"/>
      <c r="BN80" s="36"/>
      <c r="BO80" s="130"/>
      <c r="BP80" s="32"/>
      <c r="BQ80" s="32"/>
      <c r="BR80" s="131"/>
      <c r="BS80" s="32"/>
      <c r="BT80" s="32"/>
    </row>
    <row r="81">
      <c r="A81" s="89">
        <v>9.10194587E9</v>
      </c>
      <c r="B81" s="99" t="s">
        <v>1321</v>
      </c>
      <c r="C81" s="91" t="s">
        <v>1322</v>
      </c>
      <c r="D81" s="91" t="s">
        <v>1323</v>
      </c>
      <c r="E81" s="92" t="s">
        <v>1324</v>
      </c>
      <c r="F81" s="93" t="s">
        <v>386</v>
      </c>
      <c r="G81" s="94" t="s">
        <v>416</v>
      </c>
      <c r="H81" s="95"/>
      <c r="I81" s="96" t="s">
        <v>733</v>
      </c>
      <c r="J81" s="97" t="s">
        <v>720</v>
      </c>
      <c r="K81" s="98" t="s">
        <v>734</v>
      </c>
      <c r="L81" s="99" t="s">
        <v>11</v>
      </c>
      <c r="M81" s="99" t="s">
        <v>105</v>
      </c>
      <c r="N81" s="100">
        <v>46057.0</v>
      </c>
      <c r="O81" s="101" t="s">
        <v>1325</v>
      </c>
      <c r="P81" s="404">
        <v>46059.0</v>
      </c>
      <c r="Q81" s="405">
        <v>46059.0</v>
      </c>
      <c r="R81" s="100">
        <v>46063.0</v>
      </c>
      <c r="S81" s="254" t="s">
        <v>1326</v>
      </c>
      <c r="T81" s="134">
        <v>46082.0</v>
      </c>
      <c r="U81" s="104" t="s">
        <v>93</v>
      </c>
      <c r="V81" s="255" t="s">
        <v>1327</v>
      </c>
      <c r="W81" s="134">
        <v>46082.0</v>
      </c>
      <c r="X81" s="104" t="s">
        <v>93</v>
      </c>
      <c r="Y81" s="107"/>
      <c r="Z81" s="108"/>
      <c r="AA81" s="109" t="s">
        <v>1328</v>
      </c>
      <c r="AB81" s="110" t="s">
        <v>1329</v>
      </c>
      <c r="AC81" s="99">
        <f>1+1</f>
        <v>2</v>
      </c>
      <c r="AD81" s="99">
        <v>1.0</v>
      </c>
      <c r="AE81" s="99">
        <v>11.0</v>
      </c>
      <c r="AF81" s="256">
        <v>11.0</v>
      </c>
      <c r="AG81" s="256">
        <v>4.0</v>
      </c>
      <c r="AH81" s="112">
        <f t="shared" si="16"/>
        <v>7</v>
      </c>
      <c r="AI81" s="113">
        <f t="shared" si="13"/>
        <v>0.3636363636</v>
      </c>
      <c r="AJ81" s="114">
        <v>1.0</v>
      </c>
      <c r="AK81" s="100">
        <v>46073.0</v>
      </c>
      <c r="AL81" s="100">
        <v>46078.0</v>
      </c>
      <c r="AM81" s="115"/>
      <c r="AN81" s="116"/>
      <c r="AO81" s="99"/>
      <c r="AP81" s="117" t="s">
        <v>1330</v>
      </c>
      <c r="AQ81" s="118" t="s">
        <v>1331</v>
      </c>
      <c r="AR81" s="117" t="s">
        <v>1332</v>
      </c>
      <c r="AS81" s="119"/>
      <c r="AT81" s="119"/>
      <c r="AU81" s="120">
        <f>VLOOKUP(I81,DADOS!B:C,2,0)</f>
        <v>2303</v>
      </c>
      <c r="AV81" s="121">
        <f t="shared" si="14"/>
        <v>27280</v>
      </c>
      <c r="AW81" s="122" t="s">
        <v>93</v>
      </c>
      <c r="AX81" s="122" t="s">
        <v>93</v>
      </c>
      <c r="AY81" s="92"/>
      <c r="AZ81" s="123"/>
      <c r="BA81" s="124" t="s">
        <v>337</v>
      </c>
      <c r="BB81" s="125" t="s">
        <v>1333</v>
      </c>
      <c r="BC81" s="126"/>
      <c r="BD81" s="126"/>
      <c r="BE81" s="126"/>
      <c r="BF81" s="126"/>
      <c r="BG81" s="127">
        <f t="shared" si="24"/>
        <v>0</v>
      </c>
      <c r="BH81" s="126"/>
      <c r="BI81" s="126" t="s">
        <v>1334</v>
      </c>
      <c r="BJ81" s="128" t="s">
        <v>1335</v>
      </c>
      <c r="BK81" s="105" t="s">
        <v>429</v>
      </c>
      <c r="BL81" s="129"/>
      <c r="BM81" s="129"/>
      <c r="BN81" s="36"/>
      <c r="BO81" s="130"/>
      <c r="BP81" s="32"/>
      <c r="BQ81" s="32"/>
      <c r="BR81" s="131"/>
      <c r="BS81" s="32"/>
      <c r="BT81" s="32"/>
    </row>
    <row r="82">
      <c r="A82" s="89">
        <v>9.101650926E9</v>
      </c>
      <c r="B82" s="99" t="s">
        <v>1336</v>
      </c>
      <c r="C82" s="397"/>
      <c r="D82" s="397"/>
      <c r="E82" s="92" t="s">
        <v>1337</v>
      </c>
      <c r="F82" s="93" t="s">
        <v>861</v>
      </c>
      <c r="G82" s="94" t="s">
        <v>458</v>
      </c>
      <c r="H82" s="95"/>
      <c r="I82" s="96" t="s">
        <v>584</v>
      </c>
      <c r="J82" s="97" t="s">
        <v>634</v>
      </c>
      <c r="K82" s="98" t="s">
        <v>413</v>
      </c>
      <c r="L82" s="388" t="s">
        <v>4</v>
      </c>
      <c r="M82" s="99" t="s">
        <v>105</v>
      </c>
      <c r="N82" s="100"/>
      <c r="O82" s="101"/>
      <c r="P82" s="252">
        <v>46059.0</v>
      </c>
      <c r="Q82" s="253">
        <v>46060.0</v>
      </c>
      <c r="R82" s="100">
        <v>46066.0</v>
      </c>
      <c r="S82" s="254" t="s">
        <v>1338</v>
      </c>
      <c r="T82" s="134">
        <v>46082.0</v>
      </c>
      <c r="U82" s="104" t="s">
        <v>93</v>
      </c>
      <c r="V82" s="255" t="str">
        <f t="shared" ref="V82:W82" si="25">X82</f>
        <v>2026-16029</v>
      </c>
      <c r="W82" s="106">
        <f t="shared" si="25"/>
        <v>46071</v>
      </c>
      <c r="X82" s="254" t="s">
        <v>1339</v>
      </c>
      <c r="Y82" s="107">
        <v>46071.0</v>
      </c>
      <c r="Z82" s="108" t="s">
        <v>448</v>
      </c>
      <c r="AA82" s="109"/>
      <c r="AB82" s="110" t="s">
        <v>1340</v>
      </c>
      <c r="AC82" s="99">
        <v>0.0</v>
      </c>
      <c r="AD82" s="99">
        <v>0.0</v>
      </c>
      <c r="AE82" s="99">
        <f>2-1</f>
        <v>1</v>
      </c>
      <c r="AF82" s="111"/>
      <c r="AG82" s="111"/>
      <c r="AH82" s="112">
        <f t="shared" si="16"/>
        <v>1</v>
      </c>
      <c r="AI82" s="113">
        <f t="shared" si="13"/>
        <v>0</v>
      </c>
      <c r="AJ82" s="114">
        <v>1.0</v>
      </c>
      <c r="AK82" s="100">
        <v>46071.0</v>
      </c>
      <c r="AL82" s="100">
        <v>46071.0</v>
      </c>
      <c r="AM82" s="115"/>
      <c r="AN82" s="116"/>
      <c r="AO82" s="99"/>
      <c r="AP82" s="126" t="s">
        <v>1341</v>
      </c>
      <c r="AQ82" s="118" t="s">
        <v>1342</v>
      </c>
      <c r="AR82" s="117" t="s">
        <v>1343</v>
      </c>
      <c r="AS82" s="119"/>
      <c r="AT82" s="119"/>
      <c r="AU82" s="120">
        <f>VLOOKUP(I82,DADOS!B:C,2,0)</f>
        <v>2381</v>
      </c>
      <c r="AV82" s="121">
        <f t="shared" si="14"/>
        <v>2480</v>
      </c>
      <c r="AW82" s="122"/>
      <c r="AX82" s="122">
        <v>0.2</v>
      </c>
      <c r="AY82" s="92"/>
      <c r="AZ82" s="123"/>
      <c r="BA82" s="124" t="s">
        <v>690</v>
      </c>
      <c r="BB82" s="125" t="s">
        <v>1344</v>
      </c>
      <c r="BC82" s="126"/>
      <c r="BD82" s="126"/>
      <c r="BE82" s="126"/>
      <c r="BF82" s="126"/>
      <c r="BG82" s="127">
        <f t="shared" si="24"/>
        <v>0</v>
      </c>
      <c r="BH82" s="126"/>
      <c r="BI82" s="126" t="s">
        <v>1341</v>
      </c>
      <c r="BJ82" s="128" t="s">
        <v>1345</v>
      </c>
      <c r="BK82" s="104" t="s">
        <v>429</v>
      </c>
      <c r="BL82" s="129"/>
      <c r="BM82" s="129"/>
      <c r="BN82" s="36"/>
      <c r="BO82" s="130"/>
      <c r="BP82" s="32"/>
      <c r="BQ82" s="32"/>
      <c r="BR82" s="131"/>
      <c r="BS82" s="32"/>
      <c r="BT82" s="32"/>
    </row>
    <row r="83">
      <c r="A83" s="89">
        <v>9.10138079E9</v>
      </c>
      <c r="B83" s="99" t="s">
        <v>1346</v>
      </c>
      <c r="C83" s="397"/>
      <c r="D83" s="397"/>
      <c r="E83" s="92" t="s">
        <v>1347</v>
      </c>
      <c r="F83" s="93" t="s">
        <v>386</v>
      </c>
      <c r="G83" s="94" t="s">
        <v>416</v>
      </c>
      <c r="H83" s="95"/>
      <c r="I83" s="96" t="s">
        <v>496</v>
      </c>
      <c r="J83" s="97" t="s">
        <v>720</v>
      </c>
      <c r="K83" s="98" t="s">
        <v>734</v>
      </c>
      <c r="L83" s="132" t="s">
        <v>4</v>
      </c>
      <c r="M83" s="99" t="s">
        <v>91</v>
      </c>
      <c r="N83" s="100"/>
      <c r="O83" s="101"/>
      <c r="P83" s="404">
        <v>46059.0</v>
      </c>
      <c r="Q83" s="405">
        <v>46060.0</v>
      </c>
      <c r="R83" s="100">
        <v>46063.0</v>
      </c>
      <c r="S83" s="254" t="s">
        <v>1348</v>
      </c>
      <c r="T83" s="134">
        <v>46082.0</v>
      </c>
      <c r="U83" s="104" t="s">
        <v>93</v>
      </c>
      <c r="V83" s="259" t="str">
        <f>S83</f>
        <v>2026-21147</v>
      </c>
      <c r="W83" s="134">
        <v>46082.0</v>
      </c>
      <c r="X83" s="104" t="s">
        <v>93</v>
      </c>
      <c r="Y83" s="107"/>
      <c r="Z83" s="108"/>
      <c r="AA83" s="109"/>
      <c r="AB83" s="110" t="s">
        <v>1349</v>
      </c>
      <c r="AC83" s="99">
        <v>1.0</v>
      </c>
      <c r="AD83" s="99">
        <v>0.0</v>
      </c>
      <c r="AE83" s="99">
        <v>3.0</v>
      </c>
      <c r="AF83" s="256">
        <v>3.0</v>
      </c>
      <c r="AG83" s="256">
        <f>2+1</f>
        <v>3</v>
      </c>
      <c r="AH83" s="112">
        <f t="shared" si="16"/>
        <v>0</v>
      </c>
      <c r="AI83" s="113">
        <f t="shared" si="13"/>
        <v>1</v>
      </c>
      <c r="AJ83" s="114">
        <v>1.0</v>
      </c>
      <c r="AK83" s="100">
        <v>46074.0</v>
      </c>
      <c r="AL83" s="100">
        <v>46079.0</v>
      </c>
      <c r="AM83" s="115"/>
      <c r="AN83" s="116"/>
      <c r="AO83" s="99"/>
      <c r="AP83" s="126" t="s">
        <v>1350</v>
      </c>
      <c r="AQ83" s="118" t="s">
        <v>1351</v>
      </c>
      <c r="AR83" s="117" t="s">
        <v>1352</v>
      </c>
      <c r="AS83" s="119"/>
      <c r="AT83" s="119"/>
      <c r="AU83" s="120">
        <f>VLOOKUP(I83,DADOS!B:C,2,0)</f>
        <v>2300</v>
      </c>
      <c r="AV83" s="121">
        <f t="shared" si="14"/>
        <v>7440</v>
      </c>
      <c r="AW83" s="122">
        <v>0.187</v>
      </c>
      <c r="AX83" s="122"/>
      <c r="AY83" s="92"/>
      <c r="AZ83" s="123"/>
      <c r="BA83" s="124" t="s">
        <v>337</v>
      </c>
      <c r="BB83" s="125" t="s">
        <v>1333</v>
      </c>
      <c r="BC83" s="126"/>
      <c r="BD83" s="126"/>
      <c r="BE83" s="126"/>
      <c r="BF83" s="126"/>
      <c r="BG83" s="127">
        <f t="shared" si="24"/>
        <v>0</v>
      </c>
      <c r="BH83" s="126"/>
      <c r="BI83" s="126" t="s">
        <v>1350</v>
      </c>
      <c r="BJ83" s="128" t="s">
        <v>1353</v>
      </c>
      <c r="BK83" s="104" t="s">
        <v>429</v>
      </c>
      <c r="BL83" s="129"/>
      <c r="BM83" s="129"/>
      <c r="BN83" s="36"/>
      <c r="BO83" s="130"/>
      <c r="BP83" s="32"/>
      <c r="BQ83" s="32"/>
      <c r="BR83" s="131"/>
      <c r="BS83" s="32"/>
      <c r="BT83" s="32"/>
    </row>
    <row r="84">
      <c r="A84" s="140">
        <v>9.101384122E9</v>
      </c>
      <c r="B84" s="141" t="s">
        <v>1354</v>
      </c>
      <c r="C84" s="142" t="s">
        <v>93</v>
      </c>
      <c r="D84" s="142" t="s">
        <v>93</v>
      </c>
      <c r="E84" s="172" t="s">
        <v>1355</v>
      </c>
      <c r="F84" s="144" t="s">
        <v>129</v>
      </c>
      <c r="G84" s="145" t="s">
        <v>162</v>
      </c>
      <c r="H84" s="146" t="s">
        <v>1356</v>
      </c>
      <c r="I84" s="147" t="s">
        <v>412</v>
      </c>
      <c r="J84" s="148" t="s">
        <v>720</v>
      </c>
      <c r="K84" s="149" t="s">
        <v>131</v>
      </c>
      <c r="L84" s="400" t="s">
        <v>4</v>
      </c>
      <c r="M84" s="141" t="s">
        <v>105</v>
      </c>
      <c r="N84" s="150"/>
      <c r="O84" s="151"/>
      <c r="P84" s="152" t="s">
        <v>1357</v>
      </c>
      <c r="Q84" s="370">
        <v>46058.0</v>
      </c>
      <c r="R84" s="150">
        <v>46062.0</v>
      </c>
      <c r="S84" s="153" t="s">
        <v>93</v>
      </c>
      <c r="T84" s="153" t="s">
        <v>93</v>
      </c>
      <c r="U84" s="153" t="s">
        <v>93</v>
      </c>
      <c r="V84" s="348" t="s">
        <v>1358</v>
      </c>
      <c r="W84" s="154">
        <v>46082.0</v>
      </c>
      <c r="X84" s="153" t="s">
        <v>93</v>
      </c>
      <c r="Y84" s="157"/>
      <c r="Z84" s="158"/>
      <c r="AA84" s="159"/>
      <c r="AB84" s="160" t="s">
        <v>1359</v>
      </c>
      <c r="AC84" s="141">
        <v>1.0</v>
      </c>
      <c r="AD84" s="141">
        <v>0.0</v>
      </c>
      <c r="AE84" s="141">
        <v>2.0</v>
      </c>
      <c r="AF84" s="161"/>
      <c r="AG84" s="161"/>
      <c r="AH84" s="162">
        <f t="shared" si="16"/>
        <v>2</v>
      </c>
      <c r="AI84" s="163">
        <f t="shared" si="13"/>
        <v>0</v>
      </c>
      <c r="AJ84" s="189">
        <v>1.0</v>
      </c>
      <c r="AK84" s="150">
        <v>46074.0</v>
      </c>
      <c r="AL84" s="150">
        <v>46078.0</v>
      </c>
      <c r="AM84" s="164"/>
      <c r="AN84" s="165"/>
      <c r="AO84" s="141"/>
      <c r="AP84" s="176" t="s">
        <v>1360</v>
      </c>
      <c r="AQ84" s="191" t="s">
        <v>1361</v>
      </c>
      <c r="AR84" s="166" t="s">
        <v>1362</v>
      </c>
      <c r="AS84" s="168"/>
      <c r="AT84" s="168"/>
      <c r="AU84" s="169">
        <f>VLOOKUP(I84,DADOS!B:C,2,0)</f>
        <v>2332</v>
      </c>
      <c r="AV84" s="170">
        <f t="shared" si="14"/>
        <v>4960</v>
      </c>
      <c r="AW84" s="171"/>
      <c r="AX84" s="171"/>
      <c r="AY84" s="172"/>
      <c r="AZ84" s="173"/>
      <c r="BA84" s="174" t="s">
        <v>616</v>
      </c>
      <c r="BB84" s="175" t="s">
        <v>1363</v>
      </c>
      <c r="BC84" s="176"/>
      <c r="BD84" s="176"/>
      <c r="BE84" s="176"/>
      <c r="BF84" s="176"/>
      <c r="BG84" s="177">
        <f t="shared" si="24"/>
        <v>0</v>
      </c>
      <c r="BH84" s="176"/>
      <c r="BI84" s="176" t="s">
        <v>1360</v>
      </c>
      <c r="BJ84" s="178" t="s">
        <v>1364</v>
      </c>
      <c r="BK84" s="155" t="s">
        <v>429</v>
      </c>
      <c r="BL84" s="180"/>
      <c r="BM84" s="180"/>
      <c r="BN84" s="181"/>
      <c r="BO84" s="130"/>
      <c r="BP84" s="131"/>
      <c r="BQ84" s="131"/>
      <c r="BR84" s="131"/>
      <c r="BS84" s="32"/>
      <c r="BT84" s="32"/>
    </row>
    <row r="85">
      <c r="A85" s="89">
        <v>9.101779618E9</v>
      </c>
      <c r="B85" s="99" t="s">
        <v>1365</v>
      </c>
      <c r="C85" s="397"/>
      <c r="D85" s="397"/>
      <c r="E85" s="92" t="s">
        <v>1366</v>
      </c>
      <c r="F85" s="93" t="s">
        <v>386</v>
      </c>
      <c r="G85" s="94" t="s">
        <v>458</v>
      </c>
      <c r="H85" s="95"/>
      <c r="I85" s="96" t="s">
        <v>496</v>
      </c>
      <c r="J85" s="97" t="s">
        <v>720</v>
      </c>
      <c r="K85" s="98" t="s">
        <v>497</v>
      </c>
      <c r="L85" s="388" t="s">
        <v>4</v>
      </c>
      <c r="M85" s="99" t="s">
        <v>105</v>
      </c>
      <c r="N85" s="100"/>
      <c r="O85" s="101"/>
      <c r="P85" s="406">
        <v>46060.0</v>
      </c>
      <c r="Q85" s="407">
        <v>46060.0</v>
      </c>
      <c r="R85" s="100">
        <v>46063.0</v>
      </c>
      <c r="S85" s="254" t="s">
        <v>1367</v>
      </c>
      <c r="T85" s="134">
        <v>46082.0</v>
      </c>
      <c r="U85" s="104" t="s">
        <v>93</v>
      </c>
      <c r="V85" s="259" t="str">
        <f>S85</f>
        <v>2026-16908</v>
      </c>
      <c r="W85" s="134">
        <v>46082.0</v>
      </c>
      <c r="X85" s="104"/>
      <c r="Y85" s="107"/>
      <c r="Z85" s="108"/>
      <c r="AA85" s="109"/>
      <c r="AB85" s="110" t="s">
        <v>1368</v>
      </c>
      <c r="AC85" s="99">
        <v>0.0</v>
      </c>
      <c r="AD85" s="99">
        <v>0.0</v>
      </c>
      <c r="AE85" s="99">
        <v>1.0</v>
      </c>
      <c r="AF85" s="111"/>
      <c r="AG85" s="111"/>
      <c r="AH85" s="112">
        <f t="shared" si="16"/>
        <v>1</v>
      </c>
      <c r="AI85" s="113">
        <f t="shared" si="13"/>
        <v>0</v>
      </c>
      <c r="AJ85" s="114">
        <v>1.0</v>
      </c>
      <c r="AK85" s="100">
        <v>46072.0</v>
      </c>
      <c r="AL85" s="100">
        <v>46078.0</v>
      </c>
      <c r="AM85" s="115"/>
      <c r="AN85" s="116"/>
      <c r="AO85" s="99"/>
      <c r="AP85" s="126" t="s">
        <v>1369</v>
      </c>
      <c r="AQ85" s="118" t="s">
        <v>1370</v>
      </c>
      <c r="AR85" s="117" t="s">
        <v>1371</v>
      </c>
      <c r="AS85" s="119"/>
      <c r="AT85" s="119"/>
      <c r="AU85" s="120">
        <f>VLOOKUP(I85,DADOS!B:C,2,0)</f>
        <v>2300</v>
      </c>
      <c r="AV85" s="121">
        <f t="shared" si="14"/>
        <v>2480</v>
      </c>
      <c r="AW85" s="122" t="s">
        <v>93</v>
      </c>
      <c r="AX85" s="122" t="s">
        <v>93</v>
      </c>
      <c r="AY85" s="92"/>
      <c r="AZ85" s="123"/>
      <c r="BA85" s="124" t="s">
        <v>592</v>
      </c>
      <c r="BB85" s="125" t="s">
        <v>1372</v>
      </c>
      <c r="BC85" s="126"/>
      <c r="BD85" s="126"/>
      <c r="BE85" s="126"/>
      <c r="BF85" s="126"/>
      <c r="BG85" s="127">
        <f t="shared" si="24"/>
        <v>0</v>
      </c>
      <c r="BH85" s="126"/>
      <c r="BI85" s="126" t="s">
        <v>1369</v>
      </c>
      <c r="BJ85" s="128" t="s">
        <v>1373</v>
      </c>
      <c r="BK85" s="104" t="s">
        <v>429</v>
      </c>
      <c r="BL85" s="129"/>
      <c r="BM85" s="129"/>
      <c r="BN85" s="36"/>
      <c r="BO85" s="130"/>
      <c r="BP85" s="32"/>
      <c r="BQ85" s="32"/>
      <c r="BR85" s="131"/>
      <c r="BS85" s="300"/>
      <c r="BT85" s="300"/>
    </row>
    <row r="86">
      <c r="A86" s="89">
        <v>9.101780659E9</v>
      </c>
      <c r="B86" s="99" t="s">
        <v>1374</v>
      </c>
      <c r="C86" s="397"/>
      <c r="D86" s="397"/>
      <c r="E86" s="92" t="s">
        <v>1375</v>
      </c>
      <c r="F86" s="93" t="s">
        <v>129</v>
      </c>
      <c r="G86" s="94" t="s">
        <v>416</v>
      </c>
      <c r="H86" s="184" t="s">
        <v>1376</v>
      </c>
      <c r="I86" s="96" t="s">
        <v>412</v>
      </c>
      <c r="J86" s="97" t="s">
        <v>720</v>
      </c>
      <c r="K86" s="98" t="s">
        <v>131</v>
      </c>
      <c r="L86" s="388" t="s">
        <v>4</v>
      </c>
      <c r="M86" s="99" t="s">
        <v>105</v>
      </c>
      <c r="N86" s="100"/>
      <c r="O86" s="101"/>
      <c r="P86" s="252">
        <v>46058.0</v>
      </c>
      <c r="Q86" s="253">
        <v>46058.0</v>
      </c>
      <c r="R86" s="100">
        <v>46062.0</v>
      </c>
      <c r="S86" s="104" t="s">
        <v>93</v>
      </c>
      <c r="T86" s="134"/>
      <c r="U86" s="104" t="s">
        <v>93</v>
      </c>
      <c r="V86" s="255" t="s">
        <v>1377</v>
      </c>
      <c r="W86" s="106"/>
      <c r="X86" s="104" t="s">
        <v>93</v>
      </c>
      <c r="Y86" s="107"/>
      <c r="Z86" s="108"/>
      <c r="AA86" s="109"/>
      <c r="AB86" s="110" t="s">
        <v>1378</v>
      </c>
      <c r="AC86" s="99">
        <v>1.0</v>
      </c>
      <c r="AD86" s="99">
        <v>0.0</v>
      </c>
      <c r="AE86" s="99">
        <f>5-3</f>
        <v>2</v>
      </c>
      <c r="AF86" s="256">
        <v>2.0</v>
      </c>
      <c r="AG86" s="256">
        <v>2.0</v>
      </c>
      <c r="AH86" s="354">
        <v>0.0</v>
      </c>
      <c r="AI86" s="113">
        <f t="shared" si="13"/>
        <v>1</v>
      </c>
      <c r="AJ86" s="114">
        <v>1.0</v>
      </c>
      <c r="AK86" s="100">
        <v>46071.0</v>
      </c>
      <c r="AL86" s="100">
        <v>46076.0</v>
      </c>
      <c r="AM86" s="115"/>
      <c r="AN86" s="116"/>
      <c r="AO86" s="99"/>
      <c r="AP86" s="126" t="s">
        <v>1379</v>
      </c>
      <c r="AQ86" s="118" t="s">
        <v>1380</v>
      </c>
      <c r="AR86" s="117" t="s">
        <v>1381</v>
      </c>
      <c r="AS86" s="119"/>
      <c r="AT86" s="119"/>
      <c r="AU86" s="120">
        <f>VLOOKUP(I86,DADOS!B:C,2,0)</f>
        <v>2332</v>
      </c>
      <c r="AV86" s="121">
        <f t="shared" si="14"/>
        <v>4960</v>
      </c>
      <c r="AW86" s="122"/>
      <c r="AX86" s="122"/>
      <c r="AY86" s="92"/>
      <c r="AZ86" s="123"/>
      <c r="BA86" s="124" t="s">
        <v>140</v>
      </c>
      <c r="BB86" s="125" t="s">
        <v>1382</v>
      </c>
      <c r="BC86" s="126"/>
      <c r="BD86" s="126"/>
      <c r="BE86" s="126"/>
      <c r="BF86" s="126"/>
      <c r="BG86" s="127">
        <f t="shared" si="24"/>
        <v>0</v>
      </c>
      <c r="BH86" s="126"/>
      <c r="BI86" s="126" t="s">
        <v>1379</v>
      </c>
      <c r="BJ86" s="128" t="s">
        <v>1383</v>
      </c>
      <c r="BK86" s="105" t="s">
        <v>429</v>
      </c>
      <c r="BL86" s="129"/>
      <c r="BM86" s="129"/>
      <c r="BN86" s="36"/>
      <c r="BO86" s="130"/>
      <c r="BP86" s="32"/>
      <c r="BQ86" s="32"/>
      <c r="BR86" s="131"/>
      <c r="BS86" s="300"/>
      <c r="BT86" s="300"/>
    </row>
    <row r="87" ht="21.0" customHeight="1">
      <c r="A87" s="89">
        <v>9.102005211E9</v>
      </c>
      <c r="B87" s="99" t="s">
        <v>1384</v>
      </c>
      <c r="C87" s="142" t="s">
        <v>1385</v>
      </c>
      <c r="D87" s="142" t="s">
        <v>1386</v>
      </c>
      <c r="E87" s="92" t="s">
        <v>1387</v>
      </c>
      <c r="F87" s="93" t="s">
        <v>861</v>
      </c>
      <c r="G87" s="94" t="s">
        <v>416</v>
      </c>
      <c r="H87" s="95"/>
      <c r="I87" s="96" t="s">
        <v>584</v>
      </c>
      <c r="J87" s="97" t="s">
        <v>634</v>
      </c>
      <c r="K87" s="98" t="s">
        <v>413</v>
      </c>
      <c r="L87" s="99" t="s">
        <v>444</v>
      </c>
      <c r="M87" s="99" t="s">
        <v>91</v>
      </c>
      <c r="N87" s="100"/>
      <c r="O87" s="101"/>
      <c r="P87" s="252">
        <v>46007.0</v>
      </c>
      <c r="Q87" s="253">
        <v>46009.0</v>
      </c>
      <c r="R87" s="100">
        <v>46058.0</v>
      </c>
      <c r="S87" s="254" t="s">
        <v>1388</v>
      </c>
      <c r="T87" s="134">
        <v>46082.0</v>
      </c>
      <c r="U87" s="104" t="s">
        <v>93</v>
      </c>
      <c r="V87" s="105" t="str">
        <f>X87</f>
        <v>2026-18628</v>
      </c>
      <c r="W87" s="106"/>
      <c r="X87" s="104" t="s">
        <v>1389</v>
      </c>
      <c r="Y87" s="107">
        <v>46078.0</v>
      </c>
      <c r="Z87" s="108" t="s">
        <v>448</v>
      </c>
      <c r="AA87" s="109"/>
      <c r="AB87" s="135" t="s">
        <v>1390</v>
      </c>
      <c r="AC87" s="99">
        <v>1.0</v>
      </c>
      <c r="AD87" s="99">
        <v>0.0</v>
      </c>
      <c r="AE87" s="99">
        <v>4.0</v>
      </c>
      <c r="AF87" s="256">
        <v>4.0</v>
      </c>
      <c r="AG87" s="256">
        <f>1+1</f>
        <v>2</v>
      </c>
      <c r="AH87" s="112">
        <f t="shared" ref="AH87:AH109" si="26">AE87-AG87</f>
        <v>2</v>
      </c>
      <c r="AI87" s="113">
        <f t="shared" si="13"/>
        <v>0.5</v>
      </c>
      <c r="AJ87" s="114">
        <v>1.0</v>
      </c>
      <c r="AK87" s="100">
        <v>46072.0</v>
      </c>
      <c r="AL87" s="100">
        <v>46076.0</v>
      </c>
      <c r="AM87" s="115"/>
      <c r="AN87" s="116"/>
      <c r="AO87" s="99"/>
      <c r="AP87" s="126" t="s">
        <v>1391</v>
      </c>
      <c r="AQ87" s="118" t="s">
        <v>1392</v>
      </c>
      <c r="AR87" s="408" t="s">
        <v>1393</v>
      </c>
      <c r="AS87" s="119"/>
      <c r="AT87" s="119"/>
      <c r="AU87" s="120">
        <f>VLOOKUP(I87,DADOS!B:C,2,0)</f>
        <v>2381</v>
      </c>
      <c r="AV87" s="121">
        <f t="shared" si="14"/>
        <v>9920</v>
      </c>
      <c r="AW87" s="122"/>
      <c r="AX87" s="122"/>
      <c r="AY87" s="92"/>
      <c r="AZ87" s="123"/>
      <c r="BA87" s="124" t="s">
        <v>868</v>
      </c>
      <c r="BB87" s="125" t="s">
        <v>1112</v>
      </c>
      <c r="BC87" s="126"/>
      <c r="BD87" s="126"/>
      <c r="BE87" s="126"/>
      <c r="BF87" s="126"/>
      <c r="BG87" s="127">
        <f t="shared" si="24"/>
        <v>0</v>
      </c>
      <c r="BH87" s="126"/>
      <c r="BI87" s="126" t="s">
        <v>1391</v>
      </c>
      <c r="BJ87" s="128" t="s">
        <v>1394</v>
      </c>
      <c r="BK87" s="104" t="s">
        <v>429</v>
      </c>
      <c r="BL87" s="129"/>
      <c r="BM87" s="129"/>
      <c r="BN87" s="36"/>
      <c r="BO87" s="130"/>
      <c r="BP87" s="32"/>
      <c r="BQ87" s="32"/>
      <c r="BR87" s="131"/>
      <c r="BS87" s="32"/>
      <c r="BT87" s="32"/>
    </row>
    <row r="88">
      <c r="A88" s="140">
        <v>9.102072299E9</v>
      </c>
      <c r="B88" s="383" t="s">
        <v>1395</v>
      </c>
      <c r="C88" s="362"/>
      <c r="D88" s="362"/>
      <c r="E88" s="172" t="s">
        <v>1396</v>
      </c>
      <c r="F88" s="144" t="s">
        <v>283</v>
      </c>
      <c r="G88" s="145" t="s">
        <v>1397</v>
      </c>
      <c r="H88" s="146" t="s">
        <v>1398</v>
      </c>
      <c r="I88" s="147" t="s">
        <v>733</v>
      </c>
      <c r="J88" s="148" t="s">
        <v>720</v>
      </c>
      <c r="K88" s="149" t="s">
        <v>734</v>
      </c>
      <c r="L88" s="400" t="s">
        <v>4</v>
      </c>
      <c r="M88" s="141" t="s">
        <v>1399</v>
      </c>
      <c r="N88" s="150">
        <v>46059.0</v>
      </c>
      <c r="O88" s="151"/>
      <c r="P88" s="152" t="s">
        <v>1400</v>
      </c>
      <c r="Q88" s="409">
        <v>46059.0</v>
      </c>
      <c r="R88" s="150">
        <v>46062.0</v>
      </c>
      <c r="S88" s="371" t="s">
        <v>1401</v>
      </c>
      <c r="T88" s="154">
        <v>46082.0</v>
      </c>
      <c r="U88" s="153" t="s">
        <v>93</v>
      </c>
      <c r="V88" s="403" t="str">
        <f>S88</f>
        <v>2026-16919</v>
      </c>
      <c r="W88" s="154">
        <v>46082.0</v>
      </c>
      <c r="X88" s="153" t="s">
        <v>93</v>
      </c>
      <c r="Y88" s="157"/>
      <c r="Z88" s="158"/>
      <c r="AA88" s="159"/>
      <c r="AB88" s="160"/>
      <c r="AC88" s="141">
        <v>0.0</v>
      </c>
      <c r="AD88" s="141">
        <v>0.0</v>
      </c>
      <c r="AE88" s="141">
        <v>1.0</v>
      </c>
      <c r="AF88" s="161"/>
      <c r="AG88" s="161"/>
      <c r="AH88" s="162">
        <f t="shared" si="26"/>
        <v>1</v>
      </c>
      <c r="AI88" s="163">
        <f t="shared" si="13"/>
        <v>0</v>
      </c>
      <c r="AJ88" s="189">
        <v>1.0</v>
      </c>
      <c r="AK88" s="150">
        <v>46078.0</v>
      </c>
      <c r="AL88" s="150">
        <v>46078.0</v>
      </c>
      <c r="AM88" s="164"/>
      <c r="AN88" s="165"/>
      <c r="AO88" s="141"/>
      <c r="AP88" s="176" t="s">
        <v>1402</v>
      </c>
      <c r="AQ88" s="191" t="s">
        <v>1403</v>
      </c>
      <c r="AR88" s="166" t="s">
        <v>1404</v>
      </c>
      <c r="AS88" s="168"/>
      <c r="AT88" s="168"/>
      <c r="AU88" s="169">
        <f>VLOOKUP(I88,DADOS!B:C,2,0)</f>
        <v>2303</v>
      </c>
      <c r="AV88" s="170">
        <f t="shared" si="14"/>
        <v>2480</v>
      </c>
      <c r="AW88" s="171"/>
      <c r="AX88" s="171"/>
      <c r="AY88" s="172"/>
      <c r="AZ88" s="173"/>
      <c r="BA88" s="174" t="s">
        <v>337</v>
      </c>
      <c r="BB88" s="175" t="s">
        <v>1405</v>
      </c>
      <c r="BC88" s="176"/>
      <c r="BD88" s="176"/>
      <c r="BE88" s="176"/>
      <c r="BF88" s="176"/>
      <c r="BG88" s="177">
        <f t="shared" si="24"/>
        <v>0</v>
      </c>
      <c r="BH88" s="176"/>
      <c r="BI88" s="176" t="s">
        <v>1402</v>
      </c>
      <c r="BJ88" s="178" t="s">
        <v>1406</v>
      </c>
      <c r="BK88" s="179" t="s">
        <v>102</v>
      </c>
      <c r="BL88" s="180"/>
      <c r="BM88" s="180"/>
      <c r="BN88" s="181"/>
      <c r="BO88" s="130"/>
      <c r="BP88" s="131"/>
      <c r="BQ88" s="131"/>
      <c r="BR88" s="131"/>
      <c r="BS88" s="32"/>
      <c r="BT88" s="32"/>
    </row>
    <row r="89">
      <c r="A89" s="89">
        <v>9.102129805E9</v>
      </c>
      <c r="B89" s="99" t="s">
        <v>1407</v>
      </c>
      <c r="C89" s="142" t="s">
        <v>1408</v>
      </c>
      <c r="D89" s="142" t="s">
        <v>1409</v>
      </c>
      <c r="E89" s="92" t="s">
        <v>1410</v>
      </c>
      <c r="F89" s="93" t="s">
        <v>90</v>
      </c>
      <c r="G89" s="94" t="s">
        <v>458</v>
      </c>
      <c r="H89" s="95"/>
      <c r="I89" s="96" t="s">
        <v>584</v>
      </c>
      <c r="J89" s="97" t="s">
        <v>634</v>
      </c>
      <c r="K89" s="98" t="s">
        <v>413</v>
      </c>
      <c r="L89" s="99" t="s">
        <v>444</v>
      </c>
      <c r="M89" s="99" t="s">
        <v>91</v>
      </c>
      <c r="N89" s="100"/>
      <c r="O89" s="101"/>
      <c r="P89" s="252">
        <v>46059.0</v>
      </c>
      <c r="Q89" s="358">
        <v>46062.0</v>
      </c>
      <c r="R89" s="100">
        <v>46066.0</v>
      </c>
      <c r="S89" s="104" t="s">
        <v>93</v>
      </c>
      <c r="T89" s="104" t="s">
        <v>93</v>
      </c>
      <c r="U89" s="104" t="s">
        <v>93</v>
      </c>
      <c r="V89" s="255" t="s">
        <v>1411</v>
      </c>
      <c r="W89" s="134">
        <v>46082.0</v>
      </c>
      <c r="X89" s="104" t="s">
        <v>93</v>
      </c>
      <c r="Y89" s="107"/>
      <c r="Z89" s="108"/>
      <c r="AA89" s="109"/>
      <c r="AB89" s="110"/>
      <c r="AC89" s="99">
        <v>1.0</v>
      </c>
      <c r="AD89" s="99">
        <v>0.0</v>
      </c>
      <c r="AE89" s="99">
        <v>3.0</v>
      </c>
      <c r="AF89" s="111"/>
      <c r="AG89" s="111"/>
      <c r="AH89" s="112">
        <f t="shared" si="26"/>
        <v>3</v>
      </c>
      <c r="AI89" s="113">
        <f t="shared" si="13"/>
        <v>0</v>
      </c>
      <c r="AJ89" s="114">
        <v>1.0</v>
      </c>
      <c r="AK89" s="100">
        <v>46071.0</v>
      </c>
      <c r="AL89" s="100">
        <v>46078.0</v>
      </c>
      <c r="AM89" s="115"/>
      <c r="AN89" s="116"/>
      <c r="AO89" s="99"/>
      <c r="AP89" s="126" t="s">
        <v>1412</v>
      </c>
      <c r="AQ89" s="118" t="s">
        <v>1413</v>
      </c>
      <c r="AR89" s="117" t="s">
        <v>1414</v>
      </c>
      <c r="AS89" s="119"/>
      <c r="AT89" s="119"/>
      <c r="AU89" s="120">
        <f>VLOOKUP(I89,DADOS!B:C,2,0)</f>
        <v>2381</v>
      </c>
      <c r="AV89" s="121">
        <f t="shared" si="14"/>
        <v>7440</v>
      </c>
      <c r="AW89" s="122"/>
      <c r="AX89" s="122"/>
      <c r="AY89" s="92"/>
      <c r="AZ89" s="123"/>
      <c r="BA89" s="124" t="s">
        <v>99</v>
      </c>
      <c r="BB89" s="125" t="s">
        <v>100</v>
      </c>
      <c r="BC89" s="126"/>
      <c r="BD89" s="126"/>
      <c r="BE89" s="126"/>
      <c r="BF89" s="126"/>
      <c r="BG89" s="127">
        <f t="shared" si="24"/>
        <v>0</v>
      </c>
      <c r="BH89" s="126"/>
      <c r="BI89" s="126" t="s">
        <v>1412</v>
      </c>
      <c r="BJ89" s="128" t="s">
        <v>1415</v>
      </c>
      <c r="BK89" s="105" t="s">
        <v>429</v>
      </c>
      <c r="BL89" s="129"/>
      <c r="BM89" s="129"/>
      <c r="BN89" s="36"/>
      <c r="BO89" s="130"/>
      <c r="BP89" s="32"/>
      <c r="BQ89" s="32"/>
      <c r="BR89" s="131"/>
      <c r="BS89" s="32"/>
      <c r="BT89" s="32"/>
    </row>
    <row r="90">
      <c r="A90" s="89">
        <v>9.101852006E9</v>
      </c>
      <c r="B90" s="99" t="s">
        <v>1416</v>
      </c>
      <c r="C90" s="397"/>
      <c r="D90" s="397"/>
      <c r="E90" s="92" t="s">
        <v>1417</v>
      </c>
      <c r="F90" s="93" t="s">
        <v>977</v>
      </c>
      <c r="G90" s="94" t="s">
        <v>416</v>
      </c>
      <c r="H90" s="184" t="s">
        <v>1284</v>
      </c>
      <c r="I90" s="96" t="s">
        <v>682</v>
      </c>
      <c r="J90" s="97" t="s">
        <v>720</v>
      </c>
      <c r="K90" s="98" t="s">
        <v>131</v>
      </c>
      <c r="L90" s="388" t="s">
        <v>4</v>
      </c>
      <c r="M90" s="99" t="s">
        <v>105</v>
      </c>
      <c r="N90" s="100"/>
      <c r="O90" s="101"/>
      <c r="P90" s="252">
        <v>46059.0</v>
      </c>
      <c r="Q90" s="358">
        <v>46059.0</v>
      </c>
      <c r="R90" s="100">
        <v>46063.0</v>
      </c>
      <c r="S90" s="104" t="s">
        <v>93</v>
      </c>
      <c r="T90" s="104" t="s">
        <v>93</v>
      </c>
      <c r="U90" s="104" t="s">
        <v>93</v>
      </c>
      <c r="V90" s="255" t="s">
        <v>1418</v>
      </c>
      <c r="W90" s="134">
        <v>46082.0</v>
      </c>
      <c r="X90" s="104" t="s">
        <v>93</v>
      </c>
      <c r="Y90" s="107"/>
      <c r="Z90" s="108"/>
      <c r="AA90" s="109"/>
      <c r="AB90" s="110" t="s">
        <v>1419</v>
      </c>
      <c r="AC90" s="99">
        <v>1.0</v>
      </c>
      <c r="AD90" s="99">
        <v>0.0</v>
      </c>
      <c r="AE90" s="99">
        <v>3.0</v>
      </c>
      <c r="AF90" s="256">
        <v>3.0</v>
      </c>
      <c r="AG90" s="256">
        <f>1+2</f>
        <v>3</v>
      </c>
      <c r="AH90" s="112">
        <f t="shared" si="26"/>
        <v>0</v>
      </c>
      <c r="AI90" s="113">
        <f t="shared" si="13"/>
        <v>1</v>
      </c>
      <c r="AJ90" s="114">
        <v>1.0</v>
      </c>
      <c r="AK90" s="100">
        <v>46072.0</v>
      </c>
      <c r="AL90" s="100">
        <v>46078.0</v>
      </c>
      <c r="AM90" s="115"/>
      <c r="AN90" s="116"/>
      <c r="AO90" s="99"/>
      <c r="AP90" s="126" t="s">
        <v>1420</v>
      </c>
      <c r="AQ90" s="118" t="s">
        <v>1421</v>
      </c>
      <c r="AR90" s="117" t="s">
        <v>1422</v>
      </c>
      <c r="AS90" s="119"/>
      <c r="AT90" s="119"/>
      <c r="AU90" s="120">
        <f>VLOOKUP(I90,DADOS!B:C,2,0)</f>
        <v>2349</v>
      </c>
      <c r="AV90" s="121">
        <f t="shared" si="14"/>
        <v>7440</v>
      </c>
      <c r="AW90" s="122"/>
      <c r="AX90" s="122"/>
      <c r="AY90" s="92"/>
      <c r="AZ90" s="123"/>
      <c r="BA90" s="124" t="s">
        <v>985</v>
      </c>
      <c r="BB90" s="125" t="s">
        <v>1423</v>
      </c>
      <c r="BC90" s="126"/>
      <c r="BD90" s="126"/>
      <c r="BE90" s="126"/>
      <c r="BF90" s="126"/>
      <c r="BG90" s="127">
        <f t="shared" si="24"/>
        <v>0</v>
      </c>
      <c r="BH90" s="126"/>
      <c r="BI90" s="126" t="s">
        <v>1420</v>
      </c>
      <c r="BJ90" s="128" t="s">
        <v>1424</v>
      </c>
      <c r="BK90" s="105" t="s">
        <v>429</v>
      </c>
      <c r="BL90" s="129"/>
      <c r="BM90" s="129"/>
      <c r="BN90" s="36"/>
      <c r="BO90" s="130"/>
      <c r="BP90" s="32"/>
      <c r="BQ90" s="32"/>
      <c r="BR90" s="131"/>
      <c r="BS90" s="32"/>
      <c r="BT90" s="32"/>
    </row>
    <row r="91">
      <c r="A91" s="89">
        <v>9.101845588E9</v>
      </c>
      <c r="B91" s="99" t="s">
        <v>1425</v>
      </c>
      <c r="C91" s="397"/>
      <c r="D91" s="397"/>
      <c r="E91" s="92" t="s">
        <v>1426</v>
      </c>
      <c r="F91" s="93" t="s">
        <v>977</v>
      </c>
      <c r="G91" s="94" t="s">
        <v>416</v>
      </c>
      <c r="H91" s="95"/>
      <c r="I91" s="96" t="s">
        <v>682</v>
      </c>
      <c r="J91" s="97" t="s">
        <v>720</v>
      </c>
      <c r="K91" s="98" t="s">
        <v>131</v>
      </c>
      <c r="L91" s="388" t="s">
        <v>4</v>
      </c>
      <c r="M91" s="99" t="s">
        <v>105</v>
      </c>
      <c r="N91" s="100"/>
      <c r="O91" s="101"/>
      <c r="P91" s="392">
        <v>46059.0</v>
      </c>
      <c r="Q91" s="358">
        <v>46059.0</v>
      </c>
      <c r="R91" s="100">
        <v>46063.0</v>
      </c>
      <c r="S91" s="254" t="s">
        <v>1427</v>
      </c>
      <c r="T91" s="134">
        <v>46082.0</v>
      </c>
      <c r="U91" s="104" t="s">
        <v>93</v>
      </c>
      <c r="V91" s="255" t="s">
        <v>1428</v>
      </c>
      <c r="W91" s="134">
        <v>46082.0</v>
      </c>
      <c r="X91" s="104" t="s">
        <v>93</v>
      </c>
      <c r="Y91" s="107"/>
      <c r="Z91" s="108"/>
      <c r="AA91" s="109"/>
      <c r="AB91" s="110" t="s">
        <v>1429</v>
      </c>
      <c r="AC91" s="99">
        <v>2.0</v>
      </c>
      <c r="AD91" s="99">
        <v>0.0</v>
      </c>
      <c r="AE91" s="99">
        <v>4.0</v>
      </c>
      <c r="AF91" s="256">
        <v>4.0</v>
      </c>
      <c r="AG91" s="256">
        <v>3.0</v>
      </c>
      <c r="AH91" s="112">
        <f t="shared" si="26"/>
        <v>1</v>
      </c>
      <c r="AI91" s="113">
        <f t="shared" si="13"/>
        <v>0.75</v>
      </c>
      <c r="AJ91" s="114">
        <v>1.0</v>
      </c>
      <c r="AK91" s="100">
        <v>46071.0</v>
      </c>
      <c r="AL91" s="100">
        <v>46079.0</v>
      </c>
      <c r="AM91" s="115"/>
      <c r="AN91" s="116"/>
      <c r="AO91" s="99"/>
      <c r="AP91" s="126" t="s">
        <v>1430</v>
      </c>
      <c r="AQ91" s="118" t="s">
        <v>1431</v>
      </c>
      <c r="AR91" s="117" t="s">
        <v>1432</v>
      </c>
      <c r="AS91" s="119"/>
      <c r="AT91" s="119"/>
      <c r="AU91" s="120">
        <f>VLOOKUP(I91,DADOS!B:C,2,0)</f>
        <v>2349</v>
      </c>
      <c r="AV91" s="121">
        <f t="shared" si="14"/>
        <v>9920</v>
      </c>
      <c r="AW91" s="122"/>
      <c r="AX91" s="122"/>
      <c r="AY91" s="92"/>
      <c r="AZ91" s="123"/>
      <c r="BA91" s="124" t="s">
        <v>1174</v>
      </c>
      <c r="BB91" s="125" t="s">
        <v>1433</v>
      </c>
      <c r="BC91" s="126"/>
      <c r="BD91" s="126"/>
      <c r="BE91" s="126"/>
      <c r="BF91" s="126"/>
      <c r="BG91" s="127">
        <f t="shared" si="24"/>
        <v>0</v>
      </c>
      <c r="BH91" s="126"/>
      <c r="BI91" s="126" t="s">
        <v>1430</v>
      </c>
      <c r="BJ91" s="128" t="s">
        <v>1434</v>
      </c>
      <c r="BK91" s="105" t="s">
        <v>429</v>
      </c>
      <c r="BL91" s="129"/>
      <c r="BM91" s="129"/>
      <c r="BN91" s="36"/>
      <c r="BO91" s="130"/>
      <c r="BP91" s="32"/>
      <c r="BQ91" s="32"/>
      <c r="BR91" s="131"/>
      <c r="BS91" s="32"/>
      <c r="BT91" s="32"/>
    </row>
    <row r="92">
      <c r="A92" s="89">
        <v>9.101883691E9</v>
      </c>
      <c r="B92" s="99" t="s">
        <v>1435</v>
      </c>
      <c r="C92" s="397"/>
      <c r="D92" s="397"/>
      <c r="E92" s="92" t="s">
        <v>1436</v>
      </c>
      <c r="F92" s="93" t="s">
        <v>129</v>
      </c>
      <c r="G92" s="94" t="s">
        <v>416</v>
      </c>
      <c r="H92" s="95"/>
      <c r="I92" s="96" t="s">
        <v>773</v>
      </c>
      <c r="J92" s="97" t="s">
        <v>1437</v>
      </c>
      <c r="K92" s="98" t="s">
        <v>131</v>
      </c>
      <c r="L92" s="388" t="s">
        <v>4</v>
      </c>
      <c r="M92" s="99" t="s">
        <v>105</v>
      </c>
      <c r="N92" s="100"/>
      <c r="O92" s="101"/>
      <c r="P92" s="252">
        <v>46058.0</v>
      </c>
      <c r="Q92" s="253">
        <v>46058.0</v>
      </c>
      <c r="R92" s="100">
        <v>46062.0</v>
      </c>
      <c r="S92" s="254" t="s">
        <v>1438</v>
      </c>
      <c r="T92" s="134">
        <v>46082.0</v>
      </c>
      <c r="U92" s="104" t="s">
        <v>93</v>
      </c>
      <c r="V92" s="259" t="str">
        <f t="shared" ref="V92:V93" si="27">S92</f>
        <v>2026-16923</v>
      </c>
      <c r="W92" s="134">
        <v>46082.0</v>
      </c>
      <c r="X92" s="104" t="s">
        <v>93</v>
      </c>
      <c r="Y92" s="107"/>
      <c r="Z92" s="108"/>
      <c r="AA92" s="109"/>
      <c r="AB92" s="110" t="s">
        <v>1439</v>
      </c>
      <c r="AC92" s="99">
        <v>1.0</v>
      </c>
      <c r="AD92" s="99">
        <v>0.0</v>
      </c>
      <c r="AE92" s="99">
        <v>4.0</v>
      </c>
      <c r="AF92" s="256">
        <v>3.0</v>
      </c>
      <c r="AG92" s="111"/>
      <c r="AH92" s="112">
        <f t="shared" si="26"/>
        <v>4</v>
      </c>
      <c r="AI92" s="113">
        <f t="shared" si="13"/>
        <v>0</v>
      </c>
      <c r="AJ92" s="114">
        <v>1.0</v>
      </c>
      <c r="AK92" s="100">
        <v>46072.0</v>
      </c>
      <c r="AL92" s="100">
        <v>46081.0</v>
      </c>
      <c r="AM92" s="115"/>
      <c r="AN92" s="116"/>
      <c r="AO92" s="99"/>
      <c r="AP92" s="126" t="s">
        <v>1440</v>
      </c>
      <c r="AQ92" s="118" t="s">
        <v>1441</v>
      </c>
      <c r="AR92" s="117" t="s">
        <v>1442</v>
      </c>
      <c r="AS92" s="119"/>
      <c r="AT92" s="119"/>
      <c r="AU92" s="120">
        <f>VLOOKUP(I92,DADOS!B:C,2,0)</f>
        <v>2305</v>
      </c>
      <c r="AV92" s="121">
        <f t="shared" si="14"/>
        <v>9920</v>
      </c>
      <c r="AW92" s="122"/>
      <c r="AX92" s="122"/>
      <c r="AY92" s="92"/>
      <c r="AZ92" s="123"/>
      <c r="BA92" s="124" t="s">
        <v>178</v>
      </c>
      <c r="BB92" s="125" t="s">
        <v>1443</v>
      </c>
      <c r="BC92" s="126"/>
      <c r="BD92" s="126"/>
      <c r="BE92" s="126"/>
      <c r="BF92" s="126"/>
      <c r="BG92" s="127">
        <f t="shared" si="24"/>
        <v>0</v>
      </c>
      <c r="BH92" s="126"/>
      <c r="BI92" s="126" t="s">
        <v>1440</v>
      </c>
      <c r="BJ92" s="128" t="s">
        <v>1444</v>
      </c>
      <c r="BK92" s="104" t="s">
        <v>429</v>
      </c>
      <c r="BL92" s="129"/>
      <c r="BM92" s="129"/>
      <c r="BN92" s="36"/>
      <c r="BO92" s="130"/>
      <c r="BP92" s="32"/>
      <c r="BQ92" s="32"/>
      <c r="BR92" s="131"/>
      <c r="BS92" s="300"/>
      <c r="BT92" s="300"/>
    </row>
    <row r="93">
      <c r="A93" s="140">
        <v>9.101986006E9</v>
      </c>
      <c r="B93" s="383" t="s">
        <v>1445</v>
      </c>
      <c r="C93" s="142" t="s">
        <v>93</v>
      </c>
      <c r="D93" s="142" t="s">
        <v>93</v>
      </c>
      <c r="E93" s="172" t="s">
        <v>1446</v>
      </c>
      <c r="F93" s="144" t="s">
        <v>283</v>
      </c>
      <c r="G93" s="145" t="s">
        <v>162</v>
      </c>
      <c r="H93" s="146" t="s">
        <v>1447</v>
      </c>
      <c r="I93" s="147" t="s">
        <v>733</v>
      </c>
      <c r="J93" s="148" t="s">
        <v>720</v>
      </c>
      <c r="K93" s="149" t="s">
        <v>734</v>
      </c>
      <c r="L93" s="141" t="s">
        <v>11</v>
      </c>
      <c r="M93" s="141"/>
      <c r="N93" s="150"/>
      <c r="O93" s="151"/>
      <c r="P93" s="347">
        <v>46056.0</v>
      </c>
      <c r="Q93" s="410"/>
      <c r="R93" s="150"/>
      <c r="S93" s="371" t="s">
        <v>1448</v>
      </c>
      <c r="T93" s="154">
        <v>46082.0</v>
      </c>
      <c r="U93" s="153" t="s">
        <v>93</v>
      </c>
      <c r="V93" s="403" t="str">
        <f t="shared" si="27"/>
        <v>2026-16927</v>
      </c>
      <c r="W93" s="154">
        <v>46082.0</v>
      </c>
      <c r="X93" s="153" t="s">
        <v>93</v>
      </c>
      <c r="Y93" s="157"/>
      <c r="Z93" s="158"/>
      <c r="AA93" s="159"/>
      <c r="AB93" s="160"/>
      <c r="AC93" s="141">
        <v>1.0</v>
      </c>
      <c r="AD93" s="141"/>
      <c r="AE93" s="141">
        <v>1.0</v>
      </c>
      <c r="AF93" s="161"/>
      <c r="AG93" s="161"/>
      <c r="AH93" s="162">
        <f t="shared" si="26"/>
        <v>1</v>
      </c>
      <c r="AI93" s="163">
        <f t="shared" si="13"/>
        <v>0</v>
      </c>
      <c r="AJ93" s="189">
        <v>1.0</v>
      </c>
      <c r="AK93" s="150">
        <v>46071.0</v>
      </c>
      <c r="AL93" s="150">
        <v>46080.0</v>
      </c>
      <c r="AM93" s="164"/>
      <c r="AN93" s="165"/>
      <c r="AO93" s="141"/>
      <c r="AP93" s="176" t="s">
        <v>1449</v>
      </c>
      <c r="AQ93" s="191" t="s">
        <v>1450</v>
      </c>
      <c r="AR93" s="166" t="s">
        <v>1451</v>
      </c>
      <c r="AS93" s="168"/>
      <c r="AT93" s="168"/>
      <c r="AU93" s="169">
        <f>VLOOKUP(I93,DADOS!B:C,2,0)</f>
        <v>2303</v>
      </c>
      <c r="AV93" s="170">
        <f t="shared" si="14"/>
        <v>2480</v>
      </c>
      <c r="AW93" s="171"/>
      <c r="AX93" s="171"/>
      <c r="AY93" s="172"/>
      <c r="AZ93" s="173"/>
      <c r="BA93" s="174" t="s">
        <v>291</v>
      </c>
      <c r="BB93" s="175" t="s">
        <v>1452</v>
      </c>
      <c r="BC93" s="176"/>
      <c r="BD93" s="176"/>
      <c r="BE93" s="176"/>
      <c r="BF93" s="176"/>
      <c r="BG93" s="177">
        <f t="shared" si="24"/>
        <v>0</v>
      </c>
      <c r="BH93" s="176"/>
      <c r="BI93" s="176" t="s">
        <v>1449</v>
      </c>
      <c r="BJ93" s="178" t="s">
        <v>1453</v>
      </c>
      <c r="BK93" s="179" t="s">
        <v>102</v>
      </c>
      <c r="BL93" s="180"/>
      <c r="BM93" s="180"/>
      <c r="BN93" s="181"/>
      <c r="BO93" s="130"/>
      <c r="BP93" s="131"/>
      <c r="BQ93" s="131"/>
      <c r="BR93" s="131"/>
      <c r="BS93" s="300"/>
      <c r="BT93" s="300"/>
    </row>
    <row r="94">
      <c r="A94" s="89">
        <v>9.102141552E9</v>
      </c>
      <c r="B94" s="99" t="s">
        <v>1454</v>
      </c>
      <c r="C94" s="142" t="s">
        <v>1455</v>
      </c>
      <c r="D94" s="142" t="s">
        <v>1456</v>
      </c>
      <c r="E94" s="92" t="s">
        <v>1457</v>
      </c>
      <c r="F94" s="93" t="s">
        <v>386</v>
      </c>
      <c r="G94" s="94" t="s">
        <v>416</v>
      </c>
      <c r="H94" s="95"/>
      <c r="I94" s="96" t="s">
        <v>773</v>
      </c>
      <c r="J94" s="97" t="s">
        <v>1437</v>
      </c>
      <c r="K94" s="98" t="s">
        <v>585</v>
      </c>
      <c r="L94" s="99" t="s">
        <v>444</v>
      </c>
      <c r="M94" s="99" t="s">
        <v>91</v>
      </c>
      <c r="N94" s="100">
        <v>45796.0</v>
      </c>
      <c r="O94" s="101"/>
      <c r="P94" s="411">
        <v>45797.0</v>
      </c>
      <c r="Q94" s="253">
        <v>46056.0</v>
      </c>
      <c r="R94" s="100">
        <v>46063.0</v>
      </c>
      <c r="S94" s="104" t="s">
        <v>93</v>
      </c>
      <c r="T94" s="104" t="s">
        <v>93</v>
      </c>
      <c r="U94" s="104" t="s">
        <v>93</v>
      </c>
      <c r="V94" s="255" t="s">
        <v>1458</v>
      </c>
      <c r="W94" s="134">
        <v>46082.0</v>
      </c>
      <c r="X94" s="104" t="s">
        <v>93</v>
      </c>
      <c r="Y94" s="107"/>
      <c r="Z94" s="108"/>
      <c r="AA94" s="109"/>
      <c r="AB94" s="110" t="s">
        <v>1459</v>
      </c>
      <c r="AC94" s="99">
        <v>9.0</v>
      </c>
      <c r="AD94" s="99">
        <v>0.0</v>
      </c>
      <c r="AE94" s="99">
        <v>5.0</v>
      </c>
      <c r="AF94" s="256">
        <v>5.0</v>
      </c>
      <c r="AG94" s="256">
        <f>4+1</f>
        <v>5</v>
      </c>
      <c r="AH94" s="112">
        <f t="shared" si="26"/>
        <v>0</v>
      </c>
      <c r="AI94" s="113">
        <f t="shared" si="13"/>
        <v>1</v>
      </c>
      <c r="AJ94" s="114">
        <v>1.0</v>
      </c>
      <c r="AK94" s="100">
        <v>46071.0</v>
      </c>
      <c r="AL94" s="100">
        <v>46081.0</v>
      </c>
      <c r="AM94" s="115"/>
      <c r="AN94" s="116"/>
      <c r="AO94" s="99"/>
      <c r="AP94" s="126" t="s">
        <v>1460</v>
      </c>
      <c r="AQ94" s="118" t="s">
        <v>1461</v>
      </c>
      <c r="AR94" s="117" t="s">
        <v>1462</v>
      </c>
      <c r="AS94" s="119"/>
      <c r="AT94" s="119"/>
      <c r="AU94" s="120">
        <f>VLOOKUP(I94,DADOS!B:C,2,0)</f>
        <v>2305</v>
      </c>
      <c r="AV94" s="121">
        <f t="shared" si="14"/>
        <v>12400</v>
      </c>
      <c r="AW94" s="122"/>
      <c r="AX94" s="122"/>
      <c r="AY94" s="92"/>
      <c r="AZ94" s="123"/>
      <c r="BA94" s="124" t="s">
        <v>616</v>
      </c>
      <c r="BB94" s="125" t="s">
        <v>1463</v>
      </c>
      <c r="BC94" s="126"/>
      <c r="BD94" s="126"/>
      <c r="BE94" s="126"/>
      <c r="BF94" s="126"/>
      <c r="BG94" s="127">
        <f t="shared" si="24"/>
        <v>0</v>
      </c>
      <c r="BH94" s="126"/>
      <c r="BI94" s="126" t="s">
        <v>1460</v>
      </c>
      <c r="BJ94" s="128" t="s">
        <v>1464</v>
      </c>
      <c r="BK94" s="105" t="s">
        <v>429</v>
      </c>
      <c r="BL94" s="129"/>
      <c r="BM94" s="129"/>
      <c r="BN94" s="36"/>
      <c r="BO94" s="130"/>
      <c r="BP94" s="32"/>
      <c r="BQ94" s="32"/>
      <c r="BR94" s="131"/>
      <c r="BS94" s="32"/>
      <c r="BT94" s="32"/>
    </row>
    <row r="95">
      <c r="A95" s="89">
        <v>9.102367769E9</v>
      </c>
      <c r="B95" s="99" t="s">
        <v>1465</v>
      </c>
      <c r="C95" s="91" t="s">
        <v>93</v>
      </c>
      <c r="D95" s="91" t="s">
        <v>93</v>
      </c>
      <c r="E95" s="92" t="s">
        <v>1466</v>
      </c>
      <c r="F95" s="93" t="s">
        <v>902</v>
      </c>
      <c r="G95" s="94" t="s">
        <v>458</v>
      </c>
      <c r="H95" s="95"/>
      <c r="I95" s="96" t="s">
        <v>584</v>
      </c>
      <c r="J95" s="97" t="s">
        <v>634</v>
      </c>
      <c r="K95" s="98" t="s">
        <v>585</v>
      </c>
      <c r="L95" s="388" t="s">
        <v>4</v>
      </c>
      <c r="M95" s="99" t="s">
        <v>105</v>
      </c>
      <c r="N95" s="100"/>
      <c r="O95" s="101"/>
      <c r="P95" s="374">
        <v>46056.0</v>
      </c>
      <c r="Q95" s="346">
        <v>46056.0</v>
      </c>
      <c r="R95" s="100">
        <v>46066.0</v>
      </c>
      <c r="S95" s="104" t="s">
        <v>93</v>
      </c>
      <c r="T95" s="104" t="s">
        <v>93</v>
      </c>
      <c r="U95" s="104" t="s">
        <v>93</v>
      </c>
      <c r="V95" s="255" t="str">
        <f t="shared" ref="V95:W95" si="28">X95</f>
        <v>2026-16065</v>
      </c>
      <c r="W95" s="106">
        <f t="shared" si="28"/>
        <v>46072</v>
      </c>
      <c r="X95" s="254" t="s">
        <v>1467</v>
      </c>
      <c r="Y95" s="107">
        <v>46072.0</v>
      </c>
      <c r="Z95" s="108" t="s">
        <v>448</v>
      </c>
      <c r="AA95" s="109"/>
      <c r="AB95" s="110"/>
      <c r="AC95" s="99">
        <v>1.0</v>
      </c>
      <c r="AD95" s="99">
        <v>0.0</v>
      </c>
      <c r="AE95" s="99">
        <v>0.0</v>
      </c>
      <c r="AF95" s="111"/>
      <c r="AG95" s="111"/>
      <c r="AH95" s="112">
        <f t="shared" si="26"/>
        <v>0</v>
      </c>
      <c r="AI95" s="113">
        <f t="shared" si="13"/>
        <v>0</v>
      </c>
      <c r="AJ95" s="114">
        <v>1.0</v>
      </c>
      <c r="AK95" s="100">
        <v>46072.0</v>
      </c>
      <c r="AL95" s="100">
        <v>46072.0</v>
      </c>
      <c r="AM95" s="115"/>
      <c r="AN95" s="116"/>
      <c r="AO95" s="99"/>
      <c r="AP95" s="126" t="s">
        <v>1468</v>
      </c>
      <c r="AQ95" s="118" t="s">
        <v>1469</v>
      </c>
      <c r="AR95" s="117" t="s">
        <v>1470</v>
      </c>
      <c r="AS95" s="119"/>
      <c r="AT95" s="119"/>
      <c r="AU95" s="120">
        <f>VLOOKUP(I95,DADOS!B:C,2,0)</f>
        <v>2381</v>
      </c>
      <c r="AV95" s="121">
        <f t="shared" si="14"/>
        <v>0</v>
      </c>
      <c r="AW95" s="122"/>
      <c r="AX95" s="122">
        <v>0.169</v>
      </c>
      <c r="AY95" s="92"/>
      <c r="AZ95" s="123"/>
      <c r="BA95" s="124" t="s">
        <v>868</v>
      </c>
      <c r="BB95" s="125" t="s">
        <v>1471</v>
      </c>
      <c r="BC95" s="126"/>
      <c r="BD95" s="126"/>
      <c r="BE95" s="126"/>
      <c r="BF95" s="126"/>
      <c r="BG95" s="127">
        <f t="shared" si="24"/>
        <v>0</v>
      </c>
      <c r="BH95" s="126"/>
      <c r="BI95" s="126" t="s">
        <v>1468</v>
      </c>
      <c r="BJ95" s="128" t="s">
        <v>1472</v>
      </c>
      <c r="BK95" s="105" t="s">
        <v>429</v>
      </c>
      <c r="BL95" s="129"/>
      <c r="BM95" s="129"/>
      <c r="BN95" s="36"/>
      <c r="BO95" s="130"/>
      <c r="BP95" s="32"/>
      <c r="BQ95" s="32"/>
      <c r="BR95" s="131"/>
      <c r="BS95" s="32"/>
      <c r="BT95" s="32"/>
    </row>
    <row r="96">
      <c r="A96" s="89">
        <v>9.102375513E9</v>
      </c>
      <c r="B96" s="99" t="s">
        <v>1473</v>
      </c>
      <c r="C96" s="91" t="s">
        <v>93</v>
      </c>
      <c r="D96" s="91" t="s">
        <v>93</v>
      </c>
      <c r="E96" s="92" t="s">
        <v>1474</v>
      </c>
      <c r="F96" s="93" t="s">
        <v>977</v>
      </c>
      <c r="G96" s="94" t="s">
        <v>416</v>
      </c>
      <c r="H96" s="95"/>
      <c r="I96" s="96" t="s">
        <v>682</v>
      </c>
      <c r="J96" s="97" t="s">
        <v>720</v>
      </c>
      <c r="K96" s="98" t="s">
        <v>131</v>
      </c>
      <c r="L96" s="388" t="s">
        <v>4</v>
      </c>
      <c r="M96" s="99" t="s">
        <v>105</v>
      </c>
      <c r="N96" s="100"/>
      <c r="O96" s="101"/>
      <c r="P96" s="374">
        <v>46055.0</v>
      </c>
      <c r="Q96" s="346">
        <v>46056.0</v>
      </c>
      <c r="R96" s="100">
        <v>46063.0</v>
      </c>
      <c r="S96" s="254" t="s">
        <v>1475</v>
      </c>
      <c r="T96" s="134">
        <v>46082.0</v>
      </c>
      <c r="U96" s="104" t="s">
        <v>93</v>
      </c>
      <c r="V96" s="259" t="str">
        <f>S96</f>
        <v>2026-16932</v>
      </c>
      <c r="W96" s="134">
        <v>46082.0</v>
      </c>
      <c r="X96" s="104" t="s">
        <v>93</v>
      </c>
      <c r="Y96" s="107"/>
      <c r="Z96" s="108"/>
      <c r="AA96" s="109"/>
      <c r="AB96" s="110" t="s">
        <v>1476</v>
      </c>
      <c r="AC96" s="99">
        <v>1.0</v>
      </c>
      <c r="AD96" s="99">
        <v>0.0</v>
      </c>
      <c r="AE96" s="99">
        <v>4.0</v>
      </c>
      <c r="AF96" s="256">
        <v>4.0</v>
      </c>
      <c r="AG96" s="256">
        <v>3.0</v>
      </c>
      <c r="AH96" s="112">
        <f t="shared" si="26"/>
        <v>1</v>
      </c>
      <c r="AI96" s="113">
        <f t="shared" si="13"/>
        <v>0.75</v>
      </c>
      <c r="AJ96" s="114">
        <v>1.0</v>
      </c>
      <c r="AK96" s="100">
        <v>46072.0</v>
      </c>
      <c r="AL96" s="100">
        <v>46080.0</v>
      </c>
      <c r="AM96" s="115"/>
      <c r="AN96" s="116"/>
      <c r="AO96" s="99"/>
      <c r="AP96" s="126" t="s">
        <v>1477</v>
      </c>
      <c r="AQ96" s="118" t="s">
        <v>1478</v>
      </c>
      <c r="AR96" s="117" t="s">
        <v>1479</v>
      </c>
      <c r="AS96" s="119"/>
      <c r="AT96" s="119"/>
      <c r="AU96" s="120">
        <f>VLOOKUP(I96,DADOS!B:C,2,0)</f>
        <v>2349</v>
      </c>
      <c r="AV96" s="121">
        <f t="shared" si="14"/>
        <v>9920</v>
      </c>
      <c r="AW96" s="122">
        <v>0.292</v>
      </c>
      <c r="AX96" s="122"/>
      <c r="AY96" s="92"/>
      <c r="AZ96" s="123"/>
      <c r="BA96" s="124" t="s">
        <v>140</v>
      </c>
      <c r="BB96" s="125" t="s">
        <v>1480</v>
      </c>
      <c r="BC96" s="126"/>
      <c r="BD96" s="126"/>
      <c r="BE96" s="126"/>
      <c r="BF96" s="126"/>
      <c r="BG96" s="127">
        <f t="shared" si="24"/>
        <v>0</v>
      </c>
      <c r="BH96" s="126"/>
      <c r="BI96" s="126" t="s">
        <v>1477</v>
      </c>
      <c r="BJ96" s="128" t="s">
        <v>1481</v>
      </c>
      <c r="BK96" s="104" t="s">
        <v>429</v>
      </c>
      <c r="BL96" s="129"/>
      <c r="BM96" s="129"/>
      <c r="BN96" s="36"/>
      <c r="BO96" s="130"/>
      <c r="BP96" s="32"/>
      <c r="BQ96" s="32"/>
      <c r="BR96" s="131"/>
      <c r="BS96" s="300"/>
      <c r="BT96" s="300"/>
    </row>
    <row r="97">
      <c r="A97" s="89">
        <v>9.102146204E9</v>
      </c>
      <c r="B97" s="99" t="s">
        <v>207</v>
      </c>
      <c r="C97" s="91"/>
      <c r="D97" s="91"/>
      <c r="E97" s="92" t="s">
        <v>208</v>
      </c>
      <c r="F97" s="92" t="s">
        <v>129</v>
      </c>
      <c r="G97" s="94" t="s">
        <v>416</v>
      </c>
      <c r="H97" s="95"/>
      <c r="I97" s="96" t="s">
        <v>412</v>
      </c>
      <c r="J97" s="97" t="s">
        <v>720</v>
      </c>
      <c r="K97" s="98" t="s">
        <v>497</v>
      </c>
      <c r="L97" s="99" t="s">
        <v>11</v>
      </c>
      <c r="M97" s="99" t="s">
        <v>91</v>
      </c>
      <c r="N97" s="100"/>
      <c r="O97" s="101"/>
      <c r="P97" s="404">
        <v>46058.0</v>
      </c>
      <c r="Q97" s="412">
        <v>46059.0</v>
      </c>
      <c r="R97" s="100">
        <v>46062.0</v>
      </c>
      <c r="S97" s="104" t="s">
        <v>93</v>
      </c>
      <c r="T97" s="104" t="s">
        <v>93</v>
      </c>
      <c r="U97" s="104" t="s">
        <v>93</v>
      </c>
      <c r="V97" s="255" t="str">
        <f t="shared" ref="V97:W97" si="29">X97</f>
        <v>2026-16612</v>
      </c>
      <c r="W97" s="106">
        <f t="shared" si="29"/>
        <v>46073</v>
      </c>
      <c r="X97" s="254" t="s">
        <v>1482</v>
      </c>
      <c r="Y97" s="107">
        <v>46073.0</v>
      </c>
      <c r="Z97" s="108" t="s">
        <v>448</v>
      </c>
      <c r="AA97" s="109" t="s">
        <v>1483</v>
      </c>
      <c r="AB97" s="110" t="s">
        <v>1484</v>
      </c>
      <c r="AC97" s="99">
        <v>1.0</v>
      </c>
      <c r="AD97" s="99"/>
      <c r="AE97" s="99">
        <v>11.0</v>
      </c>
      <c r="AF97" s="256">
        <v>11.0</v>
      </c>
      <c r="AG97" s="256">
        <v>11.0</v>
      </c>
      <c r="AH97" s="112">
        <f t="shared" si="26"/>
        <v>0</v>
      </c>
      <c r="AI97" s="113">
        <f t="shared" si="13"/>
        <v>1</v>
      </c>
      <c r="AJ97" s="114">
        <v>1.0</v>
      </c>
      <c r="AK97" s="100">
        <v>46067.0</v>
      </c>
      <c r="AL97" s="100">
        <v>46079.0</v>
      </c>
      <c r="AM97" s="115"/>
      <c r="AN97" s="116"/>
      <c r="AO97" s="99"/>
      <c r="AP97" s="117" t="s">
        <v>1485</v>
      </c>
      <c r="AQ97" s="199" t="s">
        <v>1486</v>
      </c>
      <c r="AR97" s="117" t="s">
        <v>1487</v>
      </c>
      <c r="AS97" s="119">
        <v>88011.38</v>
      </c>
      <c r="AT97" s="119"/>
      <c r="AU97" s="120">
        <f>VLOOKUP(I97,DADOS!B:C,2,0)</f>
        <v>2332</v>
      </c>
      <c r="AV97" s="121">
        <f t="shared" si="14"/>
        <v>27280</v>
      </c>
      <c r="AW97" s="122"/>
      <c r="AX97" s="122"/>
      <c r="AY97" s="92"/>
      <c r="AZ97" s="123"/>
      <c r="BA97" s="124" t="s">
        <v>156</v>
      </c>
      <c r="BB97" s="125" t="s">
        <v>1488</v>
      </c>
      <c r="BC97" s="126"/>
      <c r="BD97" s="126"/>
      <c r="BE97" s="126"/>
      <c r="BF97" s="126"/>
      <c r="BG97" s="127">
        <v>0.0</v>
      </c>
      <c r="BH97" s="126"/>
      <c r="BI97" s="126" t="s">
        <v>1485</v>
      </c>
      <c r="BJ97" s="128" t="s">
        <v>1489</v>
      </c>
      <c r="BK97" s="193" t="s">
        <v>429</v>
      </c>
      <c r="BL97" s="129"/>
      <c r="BM97" s="129"/>
      <c r="BN97" s="36"/>
      <c r="BO97" s="130"/>
      <c r="BP97" s="32"/>
      <c r="BQ97" s="32"/>
      <c r="BR97" s="131"/>
      <c r="BS97" s="32"/>
      <c r="BT97" s="32"/>
    </row>
    <row r="98">
      <c r="A98" s="89">
        <v>9.101899602E9</v>
      </c>
      <c r="B98" s="99" t="s">
        <v>1490</v>
      </c>
      <c r="C98" s="91" t="s">
        <v>1491</v>
      </c>
      <c r="D98" s="91" t="s">
        <v>1492</v>
      </c>
      <c r="E98" s="92" t="s">
        <v>1493</v>
      </c>
      <c r="F98" s="93" t="s">
        <v>283</v>
      </c>
      <c r="G98" s="94" t="s">
        <v>416</v>
      </c>
      <c r="H98" s="95"/>
      <c r="I98" s="96" t="s">
        <v>733</v>
      </c>
      <c r="J98" s="97" t="str">
        <f>VLOOKUP(I98,DADOS!B:F,5,0)</f>
        <v>ETEMILSON OLIVEIRA SANTOS - NTS149530</v>
      </c>
      <c r="K98" s="98" t="s">
        <v>734</v>
      </c>
      <c r="L98" s="99" t="s">
        <v>444</v>
      </c>
      <c r="M98" s="99" t="s">
        <v>1013</v>
      </c>
      <c r="N98" s="100"/>
      <c r="O98" s="101"/>
      <c r="P98" s="252">
        <v>46062.0</v>
      </c>
      <c r="Q98" s="253">
        <v>46062.0</v>
      </c>
      <c r="R98" s="100">
        <v>46062.0</v>
      </c>
      <c r="S98" s="254" t="s">
        <v>1494</v>
      </c>
      <c r="T98" s="134">
        <v>46093.0</v>
      </c>
      <c r="U98" s="104" t="s">
        <v>93</v>
      </c>
      <c r="V98" s="255" t="s">
        <v>1495</v>
      </c>
      <c r="W98" s="106">
        <v>46085.0</v>
      </c>
      <c r="X98" s="104" t="s">
        <v>93</v>
      </c>
      <c r="Y98" s="107"/>
      <c r="Z98" s="108"/>
      <c r="AA98" s="109"/>
      <c r="AB98" s="110" t="s">
        <v>1496</v>
      </c>
      <c r="AC98" s="99">
        <v>1.0</v>
      </c>
      <c r="AD98" s="99">
        <v>0.0</v>
      </c>
      <c r="AE98" s="99">
        <f>5-1</f>
        <v>4</v>
      </c>
      <c r="AF98" s="256">
        <v>4.0</v>
      </c>
      <c r="AG98" s="256">
        <v>2.0</v>
      </c>
      <c r="AH98" s="112">
        <f t="shared" si="26"/>
        <v>2</v>
      </c>
      <c r="AI98" s="113">
        <f t="shared" si="13"/>
        <v>0.5</v>
      </c>
      <c r="AJ98" s="114">
        <v>1.0</v>
      </c>
      <c r="AK98" s="100">
        <v>46075.0</v>
      </c>
      <c r="AL98" s="100">
        <v>46080.0</v>
      </c>
      <c r="AM98" s="115"/>
      <c r="AN98" s="116"/>
      <c r="AO98" s="99"/>
      <c r="AP98" s="117" t="s">
        <v>1497</v>
      </c>
      <c r="AQ98" s="118" t="s">
        <v>1498</v>
      </c>
      <c r="AR98" s="117" t="s">
        <v>1499</v>
      </c>
      <c r="AS98" s="119">
        <v>68479.75</v>
      </c>
      <c r="AT98" s="119"/>
      <c r="AU98" s="120">
        <f>VLOOKUP(I98,DADOS!B:C,2,0)</f>
        <v>2303</v>
      </c>
      <c r="AV98" s="121">
        <f t="shared" si="14"/>
        <v>9920</v>
      </c>
      <c r="AW98" s="122"/>
      <c r="AX98" s="122"/>
      <c r="AY98" s="92"/>
      <c r="AZ98" s="123"/>
      <c r="BA98" s="124" t="s">
        <v>337</v>
      </c>
      <c r="BB98" s="125" t="s">
        <v>1500</v>
      </c>
      <c r="BC98" s="126"/>
      <c r="BD98" s="126"/>
      <c r="BE98" s="126"/>
      <c r="BF98" s="126"/>
      <c r="BG98" s="127">
        <f t="shared" ref="BG98:BG109" si="30">BD98*BF98</f>
        <v>0</v>
      </c>
      <c r="BH98" s="126"/>
      <c r="BI98" s="126" t="s">
        <v>1497</v>
      </c>
      <c r="BJ98" s="128" t="s">
        <v>1501</v>
      </c>
      <c r="BK98" s="179" t="s">
        <v>102</v>
      </c>
      <c r="BL98" s="129"/>
      <c r="BM98" s="129"/>
      <c r="BN98" s="36"/>
      <c r="BO98" s="130"/>
      <c r="BP98" s="32"/>
      <c r="BQ98" s="32"/>
      <c r="BR98" s="131"/>
      <c r="BS98" s="32"/>
      <c r="BT98" s="32"/>
    </row>
    <row r="99">
      <c r="A99" s="140">
        <v>9.101893892E9</v>
      </c>
      <c r="B99" s="413" t="s">
        <v>1502</v>
      </c>
      <c r="C99" s="142"/>
      <c r="D99" s="142"/>
      <c r="E99" s="172" t="s">
        <v>1503</v>
      </c>
      <c r="F99" s="144" t="s">
        <v>333</v>
      </c>
      <c r="G99" s="145" t="s">
        <v>124</v>
      </c>
      <c r="H99" s="146" t="s">
        <v>1504</v>
      </c>
      <c r="I99" s="147" t="s">
        <v>512</v>
      </c>
      <c r="J99" s="148" t="s">
        <v>720</v>
      </c>
      <c r="K99" s="149"/>
      <c r="L99" s="141" t="s">
        <v>4</v>
      </c>
      <c r="M99" s="141" t="s">
        <v>126</v>
      </c>
      <c r="N99" s="150"/>
      <c r="O99" s="151"/>
      <c r="P99" s="152"/>
      <c r="Q99" s="150"/>
      <c r="R99" s="150"/>
      <c r="S99" s="371" t="s">
        <v>1505</v>
      </c>
      <c r="T99" s="154"/>
      <c r="U99" s="153" t="s">
        <v>93</v>
      </c>
      <c r="V99" s="348" t="s">
        <v>1506</v>
      </c>
      <c r="W99" s="156"/>
      <c r="X99" s="153" t="s">
        <v>93</v>
      </c>
      <c r="Y99" s="157"/>
      <c r="Z99" s="158"/>
      <c r="AA99" s="386">
        <v>1050204.0</v>
      </c>
      <c r="AB99" s="160" t="s">
        <v>1507</v>
      </c>
      <c r="AC99" s="141">
        <v>0.0</v>
      </c>
      <c r="AD99" s="141"/>
      <c r="AE99" s="141">
        <v>14.0</v>
      </c>
      <c r="AF99" s="161"/>
      <c r="AG99" s="161"/>
      <c r="AH99" s="162">
        <f t="shared" si="26"/>
        <v>14</v>
      </c>
      <c r="AI99" s="163">
        <f t="shared" si="13"/>
        <v>0</v>
      </c>
      <c r="AJ99" s="189">
        <v>1.0</v>
      </c>
      <c r="AK99" s="150"/>
      <c r="AL99" s="150"/>
      <c r="AM99" s="164"/>
      <c r="AN99" s="165"/>
      <c r="AO99" s="141"/>
      <c r="AP99" s="166" t="s">
        <v>1508</v>
      </c>
      <c r="AQ99" s="191" t="s">
        <v>1509</v>
      </c>
      <c r="AR99" s="166" t="s">
        <v>1510</v>
      </c>
      <c r="AS99" s="168">
        <v>5210.84</v>
      </c>
      <c r="AT99" s="168"/>
      <c r="AU99" s="169">
        <f>VLOOKUP(I99,DADOS!B:C,2,0)</f>
        <v>2299</v>
      </c>
      <c r="AV99" s="170">
        <f t="shared" si="14"/>
        <v>34720</v>
      </c>
      <c r="AW99" s="171"/>
      <c r="AX99" s="171"/>
      <c r="AY99" s="172"/>
      <c r="AZ99" s="173"/>
      <c r="BA99" s="174" t="s">
        <v>337</v>
      </c>
      <c r="BB99" s="175" t="s">
        <v>1511</v>
      </c>
      <c r="BC99" s="176"/>
      <c r="BD99" s="176"/>
      <c r="BE99" s="176"/>
      <c r="BF99" s="176"/>
      <c r="BG99" s="177">
        <f t="shared" si="30"/>
        <v>0</v>
      </c>
      <c r="BH99" s="176"/>
      <c r="BI99" s="166" t="s">
        <v>1508</v>
      </c>
      <c r="BJ99" s="178"/>
      <c r="BK99" s="155" t="s">
        <v>1506</v>
      </c>
      <c r="BL99" s="180"/>
      <c r="BM99" s="180"/>
      <c r="BN99" s="181"/>
      <c r="BO99" s="130"/>
      <c r="BP99" s="131"/>
      <c r="BQ99" s="131"/>
      <c r="BR99" s="131"/>
      <c r="BS99" s="131"/>
      <c r="BT99" s="131"/>
    </row>
    <row r="100">
      <c r="A100" s="140">
        <v>9.101900215E9</v>
      </c>
      <c r="B100" s="413" t="s">
        <v>1512</v>
      </c>
      <c r="C100" s="142"/>
      <c r="D100" s="142"/>
      <c r="E100" s="172" t="s">
        <v>1513</v>
      </c>
      <c r="F100" s="144" t="s">
        <v>333</v>
      </c>
      <c r="G100" s="145" t="s">
        <v>124</v>
      </c>
      <c r="H100" s="146" t="s">
        <v>1504</v>
      </c>
      <c r="I100" s="147" t="s">
        <v>496</v>
      </c>
      <c r="J100" s="148" t="s">
        <v>720</v>
      </c>
      <c r="K100" s="149"/>
      <c r="L100" s="141" t="s">
        <v>4</v>
      </c>
      <c r="M100" s="141" t="s">
        <v>126</v>
      </c>
      <c r="N100" s="150"/>
      <c r="O100" s="151"/>
      <c r="P100" s="152"/>
      <c r="Q100" s="150"/>
      <c r="R100" s="150"/>
      <c r="S100" s="153" t="s">
        <v>790</v>
      </c>
      <c r="T100" s="154"/>
      <c r="U100" s="153" t="s">
        <v>93</v>
      </c>
      <c r="V100" s="348" t="str">
        <f>X100</f>
        <v>2026-21710</v>
      </c>
      <c r="W100" s="156"/>
      <c r="X100" s="371" t="s">
        <v>1514</v>
      </c>
      <c r="Y100" s="157"/>
      <c r="Z100" s="158" t="s">
        <v>162</v>
      </c>
      <c r="AA100" s="386">
        <v>1050205.0</v>
      </c>
      <c r="AB100" s="160" t="s">
        <v>1515</v>
      </c>
      <c r="AC100" s="141">
        <v>0.0</v>
      </c>
      <c r="AD100" s="141"/>
      <c r="AE100" s="141">
        <v>15.0</v>
      </c>
      <c r="AF100" s="161"/>
      <c r="AG100" s="161"/>
      <c r="AH100" s="162">
        <f t="shared" si="26"/>
        <v>15</v>
      </c>
      <c r="AI100" s="163">
        <f t="shared" si="13"/>
        <v>0</v>
      </c>
      <c r="AJ100" s="189">
        <v>1.0</v>
      </c>
      <c r="AK100" s="150"/>
      <c r="AL100" s="150"/>
      <c r="AM100" s="164"/>
      <c r="AN100" s="165"/>
      <c r="AO100" s="141"/>
      <c r="AP100" s="166" t="s">
        <v>1516</v>
      </c>
      <c r="AQ100" s="191" t="s">
        <v>1517</v>
      </c>
      <c r="AR100" s="166" t="s">
        <v>1518</v>
      </c>
      <c r="AS100" s="168">
        <v>5210.84</v>
      </c>
      <c r="AT100" s="168"/>
      <c r="AU100" s="169">
        <f>VLOOKUP(I100,DADOS!B:C,2,0)</f>
        <v>2300</v>
      </c>
      <c r="AV100" s="170">
        <f t="shared" si="14"/>
        <v>37200</v>
      </c>
      <c r="AW100" s="171"/>
      <c r="AX100" s="171"/>
      <c r="AY100" s="172"/>
      <c r="AZ100" s="173"/>
      <c r="BA100" s="174" t="s">
        <v>352</v>
      </c>
      <c r="BB100" s="175" t="s">
        <v>1519</v>
      </c>
      <c r="BC100" s="176"/>
      <c r="BD100" s="176"/>
      <c r="BE100" s="176"/>
      <c r="BF100" s="176"/>
      <c r="BG100" s="177">
        <f t="shared" si="30"/>
        <v>0</v>
      </c>
      <c r="BH100" s="176"/>
      <c r="BI100" s="166" t="s">
        <v>1516</v>
      </c>
      <c r="BJ100" s="178"/>
      <c r="BK100" s="179" t="s">
        <v>102</v>
      </c>
      <c r="BL100" s="180"/>
      <c r="BM100" s="180"/>
      <c r="BN100" s="181"/>
      <c r="BO100" s="130"/>
      <c r="BP100" s="131"/>
      <c r="BQ100" s="131"/>
      <c r="BR100" s="131"/>
      <c r="BS100" s="131"/>
      <c r="BT100" s="131"/>
    </row>
    <row r="101">
      <c r="A101" s="140">
        <v>9.101813634E9</v>
      </c>
      <c r="B101" s="413" t="s">
        <v>1520</v>
      </c>
      <c r="C101" s="142"/>
      <c r="D101" s="142"/>
      <c r="E101" s="172" t="s">
        <v>1521</v>
      </c>
      <c r="F101" s="144" t="s">
        <v>333</v>
      </c>
      <c r="G101" s="145" t="s">
        <v>124</v>
      </c>
      <c r="H101" s="146" t="s">
        <v>1504</v>
      </c>
      <c r="I101" s="147" t="s">
        <v>496</v>
      </c>
      <c r="J101" s="148" t="s">
        <v>720</v>
      </c>
      <c r="K101" s="149"/>
      <c r="L101" s="141" t="s">
        <v>4</v>
      </c>
      <c r="M101" s="141" t="s">
        <v>126</v>
      </c>
      <c r="N101" s="150"/>
      <c r="O101" s="151"/>
      <c r="P101" s="385">
        <v>46064.0</v>
      </c>
      <c r="Q101" s="150"/>
      <c r="R101" s="150"/>
      <c r="S101" s="371" t="s">
        <v>1522</v>
      </c>
      <c r="T101" s="154"/>
      <c r="U101" s="153" t="s">
        <v>93</v>
      </c>
      <c r="V101" s="348" t="s">
        <v>1523</v>
      </c>
      <c r="W101" s="156"/>
      <c r="X101" s="153" t="s">
        <v>93</v>
      </c>
      <c r="Y101" s="157"/>
      <c r="Z101" s="158"/>
      <c r="AA101" s="386">
        <v>1050206.0</v>
      </c>
      <c r="AB101" s="160" t="s">
        <v>1524</v>
      </c>
      <c r="AC101" s="141">
        <v>0.0</v>
      </c>
      <c r="AD101" s="141"/>
      <c r="AE101" s="141">
        <v>23.0</v>
      </c>
      <c r="AF101" s="161"/>
      <c r="AG101" s="161"/>
      <c r="AH101" s="162">
        <f t="shared" si="26"/>
        <v>23</v>
      </c>
      <c r="AI101" s="163">
        <f t="shared" si="13"/>
        <v>0</v>
      </c>
      <c r="AJ101" s="189">
        <v>1.0</v>
      </c>
      <c r="AK101" s="150"/>
      <c r="AL101" s="150"/>
      <c r="AM101" s="164"/>
      <c r="AN101" s="165"/>
      <c r="AO101" s="141"/>
      <c r="AP101" s="166" t="s">
        <v>1525</v>
      </c>
      <c r="AQ101" s="191" t="s">
        <v>1526</v>
      </c>
      <c r="AR101" s="166" t="s">
        <v>1527</v>
      </c>
      <c r="AS101" s="168">
        <v>5210.84</v>
      </c>
      <c r="AT101" s="168"/>
      <c r="AU101" s="169">
        <f>VLOOKUP(I101,DADOS!B:C,2,0)</f>
        <v>2300</v>
      </c>
      <c r="AV101" s="170">
        <f t="shared" si="14"/>
        <v>57040</v>
      </c>
      <c r="AW101" s="171"/>
      <c r="AX101" s="171"/>
      <c r="AY101" s="172"/>
      <c r="AZ101" s="173"/>
      <c r="BA101" s="174" t="s">
        <v>352</v>
      </c>
      <c r="BB101" s="175" t="s">
        <v>1528</v>
      </c>
      <c r="BC101" s="176"/>
      <c r="BD101" s="176"/>
      <c r="BE101" s="176"/>
      <c r="BF101" s="176"/>
      <c r="BG101" s="177">
        <f t="shared" si="30"/>
        <v>0</v>
      </c>
      <c r="BH101" s="176"/>
      <c r="BI101" s="166" t="s">
        <v>1525</v>
      </c>
      <c r="BJ101" s="178"/>
      <c r="BK101" s="155" t="s">
        <v>1523</v>
      </c>
      <c r="BL101" s="180"/>
      <c r="BM101" s="180"/>
      <c r="BN101" s="181"/>
      <c r="BO101" s="130"/>
      <c r="BP101" s="131"/>
      <c r="BQ101" s="131"/>
      <c r="BR101" s="131"/>
      <c r="BS101" s="131"/>
      <c r="BT101" s="131"/>
    </row>
    <row r="102">
      <c r="A102" s="89"/>
      <c r="B102" s="99"/>
      <c r="C102" s="91"/>
      <c r="D102" s="91"/>
      <c r="E102" s="92"/>
      <c r="F102" s="93"/>
      <c r="G102" s="94"/>
      <c r="H102" s="95"/>
      <c r="I102" s="96"/>
      <c r="J102" s="97" t="str">
        <f>VLOOKUP(I102,DADOS!B:F,5,0)</f>
        <v>#N/A</v>
      </c>
      <c r="K102" s="98"/>
      <c r="L102" s="99"/>
      <c r="M102" s="99"/>
      <c r="N102" s="100"/>
      <c r="O102" s="101"/>
      <c r="P102" s="133"/>
      <c r="Q102" s="100"/>
      <c r="R102" s="100"/>
      <c r="S102" s="104"/>
      <c r="T102" s="134"/>
      <c r="U102" s="104"/>
      <c r="V102" s="105"/>
      <c r="W102" s="106"/>
      <c r="X102" s="104"/>
      <c r="Y102" s="107"/>
      <c r="Z102" s="108"/>
      <c r="AA102" s="109"/>
      <c r="AB102" s="110"/>
      <c r="AC102" s="99"/>
      <c r="AD102" s="99"/>
      <c r="AE102" s="99"/>
      <c r="AF102" s="111"/>
      <c r="AG102" s="111"/>
      <c r="AH102" s="112">
        <f t="shared" si="26"/>
        <v>0</v>
      </c>
      <c r="AI102" s="113">
        <f t="shared" si="13"/>
        <v>0</v>
      </c>
      <c r="AJ102" s="114"/>
      <c r="AK102" s="100"/>
      <c r="AL102" s="100"/>
      <c r="AM102" s="115"/>
      <c r="AN102" s="116"/>
      <c r="AO102" s="99"/>
      <c r="AP102" s="117"/>
      <c r="AQ102" s="199"/>
      <c r="AR102" s="117"/>
      <c r="AS102" s="119"/>
      <c r="AT102" s="119"/>
      <c r="AU102" s="120" t="str">
        <f>VLOOKUP(I102,DADOS!B:C,2,0)</f>
        <v>#N/A</v>
      </c>
      <c r="AV102" s="121">
        <f t="shared" si="14"/>
        <v>0</v>
      </c>
      <c r="AW102" s="122"/>
      <c r="AX102" s="122"/>
      <c r="AY102" s="92"/>
      <c r="AZ102" s="123"/>
      <c r="BA102" s="124"/>
      <c r="BB102" s="125"/>
      <c r="BC102" s="126"/>
      <c r="BD102" s="126"/>
      <c r="BE102" s="126"/>
      <c r="BF102" s="126"/>
      <c r="BG102" s="127">
        <f t="shared" si="30"/>
        <v>0</v>
      </c>
      <c r="BH102" s="126"/>
      <c r="BI102" s="126"/>
      <c r="BJ102" s="128"/>
      <c r="BK102" s="179" t="s">
        <v>102</v>
      </c>
      <c r="BL102" s="129"/>
      <c r="BM102" s="129"/>
      <c r="BN102" s="36"/>
      <c r="BO102" s="130"/>
      <c r="BP102" s="32"/>
      <c r="BQ102" s="32"/>
      <c r="BR102" s="131"/>
      <c r="BS102" s="32"/>
      <c r="BT102" s="32"/>
    </row>
    <row r="103">
      <c r="A103" s="89"/>
      <c r="B103" s="99"/>
      <c r="C103" s="91"/>
      <c r="D103" s="91"/>
      <c r="E103" s="92"/>
      <c r="F103" s="93"/>
      <c r="G103" s="94"/>
      <c r="H103" s="95"/>
      <c r="I103" s="96"/>
      <c r="J103" s="97" t="str">
        <f>VLOOKUP(I103,DADOS!B:F,5,0)</f>
        <v>#N/A</v>
      </c>
      <c r="K103" s="98"/>
      <c r="L103" s="99"/>
      <c r="M103" s="99"/>
      <c r="N103" s="100"/>
      <c r="O103" s="101"/>
      <c r="P103" s="133"/>
      <c r="Q103" s="100"/>
      <c r="R103" s="100"/>
      <c r="S103" s="104"/>
      <c r="T103" s="134"/>
      <c r="U103" s="104"/>
      <c r="V103" s="105"/>
      <c r="W103" s="106"/>
      <c r="X103" s="104"/>
      <c r="Y103" s="107"/>
      <c r="Z103" s="108"/>
      <c r="AA103" s="109"/>
      <c r="AB103" s="110"/>
      <c r="AC103" s="99"/>
      <c r="AD103" s="99"/>
      <c r="AE103" s="99"/>
      <c r="AF103" s="111"/>
      <c r="AG103" s="111"/>
      <c r="AH103" s="112">
        <f t="shared" si="26"/>
        <v>0</v>
      </c>
      <c r="AI103" s="113">
        <f t="shared" si="13"/>
        <v>0</v>
      </c>
      <c r="AJ103" s="114"/>
      <c r="AK103" s="100"/>
      <c r="AL103" s="100"/>
      <c r="AM103" s="115"/>
      <c r="AN103" s="116"/>
      <c r="AO103" s="99"/>
      <c r="AP103" s="117"/>
      <c r="AQ103" s="199"/>
      <c r="AR103" s="117"/>
      <c r="AS103" s="119"/>
      <c r="AT103" s="119"/>
      <c r="AU103" s="120" t="str">
        <f>VLOOKUP(I103,DADOS!B:C,2,0)</f>
        <v>#N/A</v>
      </c>
      <c r="AV103" s="121">
        <f t="shared" si="14"/>
        <v>0</v>
      </c>
      <c r="AW103" s="122"/>
      <c r="AX103" s="122"/>
      <c r="AY103" s="92"/>
      <c r="AZ103" s="123"/>
      <c r="BA103" s="124"/>
      <c r="BB103" s="125"/>
      <c r="BC103" s="126"/>
      <c r="BD103" s="126"/>
      <c r="BE103" s="126"/>
      <c r="BF103" s="126"/>
      <c r="BG103" s="127">
        <f t="shared" si="30"/>
        <v>0</v>
      </c>
      <c r="BH103" s="126"/>
      <c r="BI103" s="126"/>
      <c r="BJ103" s="128"/>
      <c r="BK103" s="179" t="s">
        <v>102</v>
      </c>
      <c r="BL103" s="129"/>
      <c r="BM103" s="129"/>
      <c r="BN103" s="36"/>
      <c r="BO103" s="130"/>
      <c r="BP103" s="32"/>
      <c r="BQ103" s="32"/>
      <c r="BR103" s="131"/>
      <c r="BS103" s="32"/>
      <c r="BT103" s="32"/>
    </row>
    <row r="104">
      <c r="A104" s="89"/>
      <c r="B104" s="99"/>
      <c r="C104" s="91"/>
      <c r="D104" s="91"/>
      <c r="E104" s="92"/>
      <c r="F104" s="93"/>
      <c r="G104" s="94"/>
      <c r="H104" s="95"/>
      <c r="I104" s="96"/>
      <c r="J104" s="97" t="str">
        <f>VLOOKUP(I104,DADOS!B:F,5,0)</f>
        <v>#N/A</v>
      </c>
      <c r="K104" s="98"/>
      <c r="L104" s="99"/>
      <c r="M104" s="99"/>
      <c r="N104" s="100"/>
      <c r="O104" s="101"/>
      <c r="P104" s="133"/>
      <c r="Q104" s="100"/>
      <c r="R104" s="100"/>
      <c r="S104" s="104"/>
      <c r="T104" s="134"/>
      <c r="U104" s="104"/>
      <c r="V104" s="105"/>
      <c r="W104" s="106"/>
      <c r="X104" s="104"/>
      <c r="Y104" s="107"/>
      <c r="Z104" s="108"/>
      <c r="AA104" s="109"/>
      <c r="AB104" s="110"/>
      <c r="AC104" s="99"/>
      <c r="AD104" s="99"/>
      <c r="AE104" s="99"/>
      <c r="AF104" s="111"/>
      <c r="AG104" s="111"/>
      <c r="AH104" s="112">
        <f t="shared" si="26"/>
        <v>0</v>
      </c>
      <c r="AI104" s="113">
        <f t="shared" si="13"/>
        <v>0</v>
      </c>
      <c r="AJ104" s="114"/>
      <c r="AK104" s="100"/>
      <c r="AL104" s="100"/>
      <c r="AM104" s="115"/>
      <c r="AN104" s="116"/>
      <c r="AO104" s="99"/>
      <c r="AP104" s="117"/>
      <c r="AQ104" s="199"/>
      <c r="AR104" s="117"/>
      <c r="AS104" s="119"/>
      <c r="AT104" s="119"/>
      <c r="AU104" s="120" t="str">
        <f>VLOOKUP(I104,DADOS!B:C,2,0)</f>
        <v>#N/A</v>
      </c>
      <c r="AV104" s="121">
        <f t="shared" si="14"/>
        <v>0</v>
      </c>
      <c r="AW104" s="122"/>
      <c r="AX104" s="122"/>
      <c r="AY104" s="92"/>
      <c r="AZ104" s="123"/>
      <c r="BA104" s="124"/>
      <c r="BB104" s="125"/>
      <c r="BC104" s="126"/>
      <c r="BD104" s="126"/>
      <c r="BE104" s="126"/>
      <c r="BF104" s="126"/>
      <c r="BG104" s="127">
        <f t="shared" si="30"/>
        <v>0</v>
      </c>
      <c r="BH104" s="126"/>
      <c r="BI104" s="126"/>
      <c r="BJ104" s="128"/>
      <c r="BK104" s="179" t="s">
        <v>102</v>
      </c>
      <c r="BL104" s="129"/>
      <c r="BM104" s="129"/>
      <c r="BN104" s="36"/>
      <c r="BO104" s="130"/>
      <c r="BP104" s="32"/>
      <c r="BQ104" s="32"/>
      <c r="BR104" s="131"/>
      <c r="BS104" s="32"/>
      <c r="BT104" s="32"/>
    </row>
    <row r="105">
      <c r="A105" s="89"/>
      <c r="B105" s="99"/>
      <c r="C105" s="91"/>
      <c r="D105" s="91"/>
      <c r="E105" s="92"/>
      <c r="F105" s="93"/>
      <c r="G105" s="94"/>
      <c r="H105" s="95"/>
      <c r="I105" s="96"/>
      <c r="J105" s="97" t="str">
        <f>VLOOKUP(I105,DADOS!B:F,5,0)</f>
        <v>#N/A</v>
      </c>
      <c r="K105" s="98"/>
      <c r="L105" s="99"/>
      <c r="M105" s="99"/>
      <c r="N105" s="100"/>
      <c r="O105" s="101"/>
      <c r="P105" s="133"/>
      <c r="Q105" s="100"/>
      <c r="R105" s="100"/>
      <c r="S105" s="104"/>
      <c r="T105" s="134"/>
      <c r="U105" s="104"/>
      <c r="V105" s="105"/>
      <c r="W105" s="106"/>
      <c r="X105" s="104"/>
      <c r="Y105" s="107"/>
      <c r="Z105" s="108"/>
      <c r="AA105" s="109"/>
      <c r="AB105" s="110"/>
      <c r="AC105" s="99"/>
      <c r="AD105" s="99"/>
      <c r="AE105" s="99"/>
      <c r="AF105" s="111"/>
      <c r="AG105" s="111"/>
      <c r="AH105" s="112">
        <f t="shared" si="26"/>
        <v>0</v>
      </c>
      <c r="AI105" s="113">
        <f t="shared" si="13"/>
        <v>0</v>
      </c>
      <c r="AJ105" s="114"/>
      <c r="AK105" s="100"/>
      <c r="AL105" s="100"/>
      <c r="AM105" s="115"/>
      <c r="AN105" s="116"/>
      <c r="AO105" s="99"/>
      <c r="AP105" s="117"/>
      <c r="AQ105" s="199"/>
      <c r="AR105" s="117"/>
      <c r="AS105" s="119"/>
      <c r="AT105" s="119"/>
      <c r="AU105" s="120" t="str">
        <f>VLOOKUP(I105,DADOS!B:C,2,0)</f>
        <v>#N/A</v>
      </c>
      <c r="AV105" s="121">
        <f t="shared" si="14"/>
        <v>0</v>
      </c>
      <c r="AW105" s="122"/>
      <c r="AX105" s="122"/>
      <c r="AY105" s="92"/>
      <c r="AZ105" s="123"/>
      <c r="BA105" s="124"/>
      <c r="BB105" s="125"/>
      <c r="BC105" s="126"/>
      <c r="BD105" s="126"/>
      <c r="BE105" s="126"/>
      <c r="BF105" s="126"/>
      <c r="BG105" s="127">
        <f t="shared" si="30"/>
        <v>0</v>
      </c>
      <c r="BH105" s="126"/>
      <c r="BI105" s="126"/>
      <c r="BJ105" s="128"/>
      <c r="BK105" s="179" t="s">
        <v>102</v>
      </c>
      <c r="BL105" s="129"/>
      <c r="BM105" s="129"/>
      <c r="BN105" s="36"/>
      <c r="BO105" s="130"/>
      <c r="BP105" s="32"/>
      <c r="BQ105" s="32"/>
      <c r="BR105" s="131"/>
      <c r="BS105" s="32"/>
      <c r="BT105" s="32"/>
    </row>
    <row r="106">
      <c r="A106" s="89"/>
      <c r="B106" s="99"/>
      <c r="C106" s="91"/>
      <c r="D106" s="91"/>
      <c r="E106" s="92"/>
      <c r="F106" s="93"/>
      <c r="G106" s="94"/>
      <c r="H106" s="95"/>
      <c r="I106" s="96"/>
      <c r="J106" s="97" t="str">
        <f>VLOOKUP(I106,DADOS!B:F,5,0)</f>
        <v>#N/A</v>
      </c>
      <c r="K106" s="98"/>
      <c r="L106" s="99"/>
      <c r="M106" s="99"/>
      <c r="N106" s="100"/>
      <c r="O106" s="101"/>
      <c r="P106" s="133"/>
      <c r="Q106" s="100"/>
      <c r="R106" s="100"/>
      <c r="S106" s="104"/>
      <c r="T106" s="134"/>
      <c r="U106" s="104"/>
      <c r="V106" s="105"/>
      <c r="W106" s="106"/>
      <c r="X106" s="104"/>
      <c r="Y106" s="107"/>
      <c r="Z106" s="108"/>
      <c r="AA106" s="109"/>
      <c r="AB106" s="110"/>
      <c r="AC106" s="99"/>
      <c r="AD106" s="99"/>
      <c r="AE106" s="99"/>
      <c r="AF106" s="111"/>
      <c r="AG106" s="111"/>
      <c r="AH106" s="112">
        <f t="shared" si="26"/>
        <v>0</v>
      </c>
      <c r="AI106" s="113">
        <f t="shared" si="13"/>
        <v>0</v>
      </c>
      <c r="AJ106" s="114"/>
      <c r="AK106" s="100"/>
      <c r="AL106" s="100"/>
      <c r="AM106" s="115"/>
      <c r="AN106" s="116"/>
      <c r="AO106" s="99"/>
      <c r="AP106" s="117"/>
      <c r="AQ106" s="199"/>
      <c r="AR106" s="117"/>
      <c r="AS106" s="119"/>
      <c r="AT106" s="119"/>
      <c r="AU106" s="120" t="str">
        <f>VLOOKUP(I106,DADOS!B:C,2,0)</f>
        <v>#N/A</v>
      </c>
      <c r="AV106" s="121">
        <f t="shared" si="14"/>
        <v>0</v>
      </c>
      <c r="AW106" s="122"/>
      <c r="AX106" s="122"/>
      <c r="AY106" s="92"/>
      <c r="AZ106" s="123"/>
      <c r="BA106" s="124"/>
      <c r="BB106" s="125"/>
      <c r="BC106" s="126"/>
      <c r="BD106" s="126"/>
      <c r="BE106" s="126"/>
      <c r="BF106" s="126"/>
      <c r="BG106" s="127">
        <f t="shared" si="30"/>
        <v>0</v>
      </c>
      <c r="BH106" s="126"/>
      <c r="BI106" s="126"/>
      <c r="BJ106" s="128"/>
      <c r="BK106" s="179" t="s">
        <v>102</v>
      </c>
      <c r="BL106" s="129"/>
      <c r="BM106" s="129"/>
      <c r="BN106" s="36"/>
      <c r="BO106" s="130"/>
      <c r="BP106" s="32"/>
      <c r="BQ106" s="32"/>
      <c r="BR106" s="131"/>
      <c r="BS106" s="32"/>
      <c r="BT106" s="32"/>
    </row>
    <row r="107">
      <c r="A107" s="89"/>
      <c r="B107" s="99"/>
      <c r="C107" s="91"/>
      <c r="D107" s="91"/>
      <c r="E107" s="92"/>
      <c r="F107" s="93"/>
      <c r="G107" s="94"/>
      <c r="H107" s="95"/>
      <c r="I107" s="96"/>
      <c r="J107" s="97" t="str">
        <f>VLOOKUP(I107,DADOS!B:F,5,0)</f>
        <v>#N/A</v>
      </c>
      <c r="K107" s="98"/>
      <c r="L107" s="99"/>
      <c r="M107" s="99"/>
      <c r="N107" s="100"/>
      <c r="O107" s="101"/>
      <c r="P107" s="133"/>
      <c r="Q107" s="100"/>
      <c r="R107" s="100"/>
      <c r="S107" s="104"/>
      <c r="T107" s="134"/>
      <c r="U107" s="104"/>
      <c r="V107" s="105"/>
      <c r="W107" s="106"/>
      <c r="X107" s="104"/>
      <c r="Y107" s="107"/>
      <c r="Z107" s="108"/>
      <c r="AA107" s="109"/>
      <c r="AB107" s="110"/>
      <c r="AC107" s="99"/>
      <c r="AD107" s="99"/>
      <c r="AE107" s="99"/>
      <c r="AF107" s="111"/>
      <c r="AG107" s="111"/>
      <c r="AH107" s="112">
        <f t="shared" si="26"/>
        <v>0</v>
      </c>
      <c r="AI107" s="113">
        <f t="shared" si="13"/>
        <v>0</v>
      </c>
      <c r="AJ107" s="114"/>
      <c r="AK107" s="100"/>
      <c r="AL107" s="100"/>
      <c r="AM107" s="115"/>
      <c r="AN107" s="116"/>
      <c r="AO107" s="99"/>
      <c r="AP107" s="117"/>
      <c r="AQ107" s="199"/>
      <c r="AR107" s="117"/>
      <c r="AS107" s="119"/>
      <c r="AT107" s="119"/>
      <c r="AU107" s="120" t="str">
        <f>VLOOKUP(I107,DADOS!B:C,2,0)</f>
        <v>#N/A</v>
      </c>
      <c r="AV107" s="121">
        <f t="shared" si="14"/>
        <v>0</v>
      </c>
      <c r="AW107" s="122"/>
      <c r="AX107" s="122"/>
      <c r="AY107" s="92"/>
      <c r="AZ107" s="123"/>
      <c r="BA107" s="124"/>
      <c r="BB107" s="125"/>
      <c r="BC107" s="126"/>
      <c r="BD107" s="126"/>
      <c r="BE107" s="126"/>
      <c r="BF107" s="126"/>
      <c r="BG107" s="127">
        <f t="shared" si="30"/>
        <v>0</v>
      </c>
      <c r="BH107" s="126"/>
      <c r="BI107" s="126"/>
      <c r="BJ107" s="128"/>
      <c r="BK107" s="179" t="s">
        <v>102</v>
      </c>
      <c r="BL107" s="129"/>
      <c r="BM107" s="129"/>
      <c r="BN107" s="36"/>
      <c r="BO107" s="130"/>
      <c r="BP107" s="32"/>
      <c r="BQ107" s="32"/>
      <c r="BR107" s="131"/>
      <c r="BS107" s="32"/>
      <c r="BT107" s="32"/>
    </row>
    <row r="108">
      <c r="A108" s="89"/>
      <c r="B108" s="99"/>
      <c r="C108" s="91"/>
      <c r="D108" s="91"/>
      <c r="E108" s="92"/>
      <c r="F108" s="93"/>
      <c r="G108" s="94"/>
      <c r="H108" s="95"/>
      <c r="I108" s="96"/>
      <c r="J108" s="97" t="str">
        <f>VLOOKUP(I108,DADOS!B:F,5,0)</f>
        <v>#N/A</v>
      </c>
      <c r="K108" s="98"/>
      <c r="L108" s="99"/>
      <c r="M108" s="99"/>
      <c r="N108" s="100"/>
      <c r="O108" s="101"/>
      <c r="P108" s="133"/>
      <c r="Q108" s="100"/>
      <c r="R108" s="100"/>
      <c r="S108" s="104"/>
      <c r="T108" s="134"/>
      <c r="U108" s="104"/>
      <c r="V108" s="105"/>
      <c r="W108" s="106"/>
      <c r="X108" s="104"/>
      <c r="Y108" s="107"/>
      <c r="Z108" s="108"/>
      <c r="AA108" s="109"/>
      <c r="AB108" s="110"/>
      <c r="AC108" s="99"/>
      <c r="AD108" s="99"/>
      <c r="AE108" s="99"/>
      <c r="AF108" s="111"/>
      <c r="AG108" s="111"/>
      <c r="AH108" s="112">
        <f t="shared" si="26"/>
        <v>0</v>
      </c>
      <c r="AI108" s="113">
        <f t="shared" si="13"/>
        <v>0</v>
      </c>
      <c r="AJ108" s="114"/>
      <c r="AK108" s="100"/>
      <c r="AL108" s="100"/>
      <c r="AM108" s="115"/>
      <c r="AN108" s="116"/>
      <c r="AO108" s="99"/>
      <c r="AP108" s="117"/>
      <c r="AQ108" s="199"/>
      <c r="AR108" s="117"/>
      <c r="AS108" s="119"/>
      <c r="AT108" s="119"/>
      <c r="AU108" s="120" t="str">
        <f>VLOOKUP(I108,DADOS!B:C,2,0)</f>
        <v>#N/A</v>
      </c>
      <c r="AV108" s="121">
        <f t="shared" si="14"/>
        <v>0</v>
      </c>
      <c r="AW108" s="122"/>
      <c r="AX108" s="122"/>
      <c r="AY108" s="92"/>
      <c r="AZ108" s="123"/>
      <c r="BA108" s="124"/>
      <c r="BB108" s="125"/>
      <c r="BC108" s="126"/>
      <c r="BD108" s="126"/>
      <c r="BE108" s="126"/>
      <c r="BF108" s="126"/>
      <c r="BG108" s="127">
        <f t="shared" si="30"/>
        <v>0</v>
      </c>
      <c r="BH108" s="126"/>
      <c r="BI108" s="126"/>
      <c r="BJ108" s="128"/>
      <c r="BK108" s="179" t="s">
        <v>102</v>
      </c>
      <c r="BL108" s="129"/>
      <c r="BM108" s="129"/>
      <c r="BN108" s="36"/>
      <c r="BO108" s="130"/>
      <c r="BP108" s="32"/>
      <c r="BQ108" s="32"/>
      <c r="BR108" s="131"/>
      <c r="BS108" s="32"/>
      <c r="BT108" s="32"/>
    </row>
    <row r="109">
      <c r="A109" s="89"/>
      <c r="B109" s="99"/>
      <c r="C109" s="91"/>
      <c r="D109" s="91"/>
      <c r="E109" s="92"/>
      <c r="F109" s="93"/>
      <c r="G109" s="94"/>
      <c r="H109" s="95"/>
      <c r="I109" s="96"/>
      <c r="J109" s="97" t="str">
        <f>VLOOKUP(I109,DADOS!B:F,5,0)</f>
        <v>#N/A</v>
      </c>
      <c r="K109" s="98"/>
      <c r="L109" s="99"/>
      <c r="M109" s="99"/>
      <c r="N109" s="100"/>
      <c r="O109" s="101"/>
      <c r="P109" s="133"/>
      <c r="Q109" s="100"/>
      <c r="R109" s="100"/>
      <c r="S109" s="104"/>
      <c r="T109" s="134"/>
      <c r="U109" s="104"/>
      <c r="V109" s="105"/>
      <c r="W109" s="106"/>
      <c r="X109" s="104"/>
      <c r="Y109" s="107"/>
      <c r="Z109" s="108"/>
      <c r="AA109" s="109"/>
      <c r="AB109" s="110"/>
      <c r="AC109" s="99"/>
      <c r="AD109" s="99"/>
      <c r="AE109" s="99"/>
      <c r="AF109" s="111"/>
      <c r="AG109" s="111"/>
      <c r="AH109" s="112">
        <f t="shared" si="26"/>
        <v>0</v>
      </c>
      <c r="AI109" s="113">
        <f t="shared" si="13"/>
        <v>0</v>
      </c>
      <c r="AJ109" s="114"/>
      <c r="AK109" s="100"/>
      <c r="AL109" s="100"/>
      <c r="AM109" s="115"/>
      <c r="AN109" s="116"/>
      <c r="AO109" s="99"/>
      <c r="AP109" s="117"/>
      <c r="AQ109" s="199"/>
      <c r="AR109" s="117"/>
      <c r="AS109" s="119"/>
      <c r="AT109" s="119"/>
      <c r="AU109" s="120" t="str">
        <f>VLOOKUP(I109,DADOS!B:C,2,0)</f>
        <v>#N/A</v>
      </c>
      <c r="AV109" s="121">
        <f t="shared" si="14"/>
        <v>0</v>
      </c>
      <c r="AW109" s="122"/>
      <c r="AX109" s="122"/>
      <c r="AY109" s="92"/>
      <c r="AZ109" s="123"/>
      <c r="BA109" s="124"/>
      <c r="BB109" s="125"/>
      <c r="BC109" s="126"/>
      <c r="BD109" s="126"/>
      <c r="BE109" s="126"/>
      <c r="BF109" s="126"/>
      <c r="BG109" s="127">
        <f t="shared" si="30"/>
        <v>0</v>
      </c>
      <c r="BH109" s="126"/>
      <c r="BI109" s="126"/>
      <c r="BJ109" s="128"/>
      <c r="BK109" s="179" t="s">
        <v>102</v>
      </c>
      <c r="BL109" s="129"/>
      <c r="BM109" s="129"/>
      <c r="BN109" s="36"/>
      <c r="BO109" s="130"/>
      <c r="BP109" s="32"/>
      <c r="BQ109" s="32"/>
      <c r="BR109" s="131"/>
      <c r="BS109" s="32"/>
      <c r="BT109" s="32"/>
    </row>
    <row r="110" ht="54.75" customHeight="1">
      <c r="A110" s="203"/>
      <c r="B110" s="204"/>
      <c r="C110" s="205" t="s">
        <v>375</v>
      </c>
      <c r="D110" s="205" t="s">
        <v>375</v>
      </c>
      <c r="E110" s="205"/>
      <c r="F110" s="206"/>
      <c r="G110" s="206"/>
      <c r="H110" s="32"/>
      <c r="I110" s="207"/>
      <c r="J110" s="208"/>
      <c r="K110" s="208"/>
      <c r="L110" s="207"/>
      <c r="M110" s="207"/>
      <c r="N110" s="209"/>
      <c r="O110" s="61"/>
      <c r="P110" s="209"/>
      <c r="Q110" s="210"/>
      <c r="R110" s="210"/>
      <c r="S110" s="211"/>
      <c r="T110" s="212"/>
      <c r="U110" s="211"/>
      <c r="V110" s="211"/>
      <c r="W110" s="212"/>
      <c r="X110" s="213"/>
      <c r="Y110" s="214"/>
      <c r="Z110" s="213"/>
      <c r="AA110" s="45"/>
      <c r="AB110" s="45"/>
      <c r="AC110" s="207"/>
      <c r="AD110" s="207"/>
      <c r="AE110" s="207"/>
      <c r="AF110" s="17"/>
      <c r="AG110" s="17"/>
      <c r="AH110" s="215"/>
      <c r="AI110" s="216"/>
      <c r="AJ110" s="217"/>
      <c r="AK110" s="218"/>
      <c r="AL110" s="218"/>
      <c r="AM110" s="218"/>
      <c r="AN110" s="218"/>
      <c r="AO110" s="218"/>
      <c r="AP110" s="219"/>
      <c r="AQ110" s="220"/>
      <c r="AR110" s="219"/>
      <c r="AS110" s="221"/>
      <c r="AT110" s="221"/>
      <c r="AU110" s="222"/>
      <c r="AV110" s="222"/>
      <c r="AW110" s="223"/>
      <c r="AX110" s="223"/>
      <c r="AY110" s="206"/>
      <c r="AZ110" s="224"/>
      <c r="BA110" s="219"/>
      <c r="BB110" s="219"/>
      <c r="BC110" s="219"/>
      <c r="BD110" s="219"/>
      <c r="BE110" s="219"/>
      <c r="BF110" s="219"/>
      <c r="BG110" s="219"/>
      <c r="BH110" s="219"/>
      <c r="BI110" s="219"/>
      <c r="BJ110" s="225"/>
      <c r="BK110" s="226"/>
      <c r="BL110" s="227"/>
      <c r="BM110" s="228"/>
      <c r="BN110" s="229" t="str">
        <f>K110</f>
        <v/>
      </c>
      <c r="BO110" s="230"/>
      <c r="BP110" s="231" t="s">
        <v>376</v>
      </c>
      <c r="BQ110" s="232"/>
      <c r="BR110" s="232"/>
      <c r="BS110" s="232"/>
      <c r="BT110" s="232"/>
    </row>
    <row r="111" ht="16.5" customHeight="1">
      <c r="A111" s="203"/>
      <c r="B111" s="204"/>
      <c r="C111" s="205"/>
      <c r="D111" s="205"/>
      <c r="E111" s="205"/>
      <c r="F111" s="206"/>
      <c r="G111" s="206"/>
      <c r="H111" s="39"/>
      <c r="I111" s="207"/>
      <c r="J111" s="208"/>
      <c r="K111" s="208"/>
      <c r="L111" s="207"/>
      <c r="M111" s="207"/>
      <c r="N111" s="209"/>
      <c r="O111" s="233"/>
      <c r="P111" s="209"/>
      <c r="Q111" s="210"/>
      <c r="R111" s="210"/>
      <c r="S111" s="211"/>
      <c r="T111" s="212"/>
      <c r="U111" s="211"/>
      <c r="V111" s="211"/>
      <c r="W111" s="212"/>
      <c r="X111" s="213"/>
      <c r="Y111" s="214"/>
      <c r="Z111" s="213"/>
      <c r="AA111" s="45"/>
      <c r="AB111" s="45"/>
      <c r="AC111" s="207"/>
      <c r="AD111" s="207"/>
      <c r="AE111" s="207"/>
      <c r="AF111" s="17"/>
      <c r="AG111" s="17"/>
      <c r="AH111" s="215"/>
      <c r="AI111" s="216"/>
      <c r="AJ111" s="217"/>
      <c r="AK111" s="210"/>
      <c r="AL111" s="210"/>
      <c r="AM111" s="210"/>
      <c r="AN111" s="218"/>
      <c r="AO111" s="210"/>
      <c r="AP111" s="219"/>
      <c r="AQ111" s="220"/>
      <c r="AR111" s="219"/>
      <c r="AS111" s="221"/>
      <c r="AT111" s="221"/>
      <c r="AU111" s="222"/>
      <c r="AV111" s="222"/>
      <c r="AW111" s="223"/>
      <c r="AX111" s="223"/>
      <c r="AY111" s="206"/>
      <c r="AZ111" s="224"/>
      <c r="BA111" s="219"/>
      <c r="BB111" s="219"/>
      <c r="BC111" s="219"/>
      <c r="BD111" s="219"/>
      <c r="BE111" s="219"/>
      <c r="BF111" s="219"/>
      <c r="BG111" s="219"/>
      <c r="BH111" s="219"/>
      <c r="BI111" s="219"/>
      <c r="BJ111" s="225"/>
      <c r="BK111" s="225"/>
      <c r="BL111" s="234"/>
      <c r="BM111" s="234"/>
      <c r="BN111" s="235"/>
      <c r="BO111" s="236" t="s">
        <v>377</v>
      </c>
      <c r="BP111" s="237" t="str">
        <f>VLOOKUP(BP112,B:AO,4,0)</f>
        <v>ER-CIND-FAZ-VARZEA COMPRIDA-RURAL</v>
      </c>
      <c r="BQ111" s="238" t="s">
        <v>378</v>
      </c>
      <c r="BR111" s="232"/>
      <c r="BS111" s="232"/>
      <c r="BT111" s="232"/>
    </row>
    <row r="112" ht="16.5" customHeight="1">
      <c r="A112" s="203"/>
      <c r="B112" s="204"/>
      <c r="C112" s="205"/>
      <c r="D112" s="205"/>
      <c r="E112" s="205"/>
      <c r="F112" s="206"/>
      <c r="G112" s="206"/>
      <c r="H112" s="39"/>
      <c r="I112" s="207"/>
      <c r="J112" s="208"/>
      <c r="K112" s="208"/>
      <c r="L112" s="207"/>
      <c r="M112" s="207"/>
      <c r="N112" s="209"/>
      <c r="O112" s="239"/>
      <c r="P112" s="209"/>
      <c r="Q112" s="210"/>
      <c r="R112" s="210"/>
      <c r="S112" s="211"/>
      <c r="T112" s="212"/>
      <c r="U112" s="211"/>
      <c r="V112" s="211"/>
      <c r="W112" s="212"/>
      <c r="X112" s="213"/>
      <c r="Y112" s="214"/>
      <c r="Z112" s="213"/>
      <c r="AA112" s="45"/>
      <c r="AB112" s="45"/>
      <c r="AC112" s="207"/>
      <c r="AD112" s="207"/>
      <c r="AE112" s="207"/>
      <c r="AF112" s="17"/>
      <c r="AG112" s="17"/>
      <c r="AH112" s="215"/>
      <c r="AI112" s="216"/>
      <c r="AJ112" s="217"/>
      <c r="AK112" s="210"/>
      <c r="AL112" s="210"/>
      <c r="AM112" s="210"/>
      <c r="AN112" s="218"/>
      <c r="AO112" s="210"/>
      <c r="AP112" s="219"/>
      <c r="AQ112" s="220"/>
      <c r="AR112" s="219"/>
      <c r="AS112" s="221"/>
      <c r="AT112" s="221"/>
      <c r="AU112" s="222"/>
      <c r="AV112" s="222"/>
      <c r="AW112" s="223"/>
      <c r="AX112" s="223"/>
      <c r="AY112" s="206"/>
      <c r="AZ112" s="224"/>
      <c r="BA112" s="219"/>
      <c r="BB112" s="219"/>
      <c r="BC112" s="219"/>
      <c r="BD112" s="219"/>
      <c r="BE112" s="219"/>
      <c r="BF112" s="219"/>
      <c r="BG112" s="219"/>
      <c r="BH112" s="219"/>
      <c r="BI112" s="219"/>
      <c r="BJ112" s="225"/>
      <c r="BK112" s="225"/>
      <c r="BL112" s="234"/>
      <c r="BM112" s="234"/>
      <c r="BN112" s="240"/>
      <c r="BO112" s="236" t="s">
        <v>379</v>
      </c>
      <c r="BP112" s="241" t="s">
        <v>871</v>
      </c>
      <c r="BQ112" s="242" t="s">
        <v>381</v>
      </c>
      <c r="BR112" s="232"/>
      <c r="BS112" s="232"/>
      <c r="BT112" s="232"/>
    </row>
    <row r="113" ht="16.5" customHeight="1">
      <c r="A113" s="203"/>
      <c r="B113" s="204"/>
      <c r="C113" s="205"/>
      <c r="D113" s="205"/>
      <c r="E113" s="205"/>
      <c r="F113" s="206"/>
      <c r="G113" s="206"/>
      <c r="H113" s="39"/>
      <c r="I113" s="207"/>
      <c r="J113" s="208"/>
      <c r="K113" s="208"/>
      <c r="L113" s="207"/>
      <c r="M113" s="207"/>
      <c r="N113" s="209"/>
      <c r="O113" s="239"/>
      <c r="P113" s="209"/>
      <c r="Q113" s="210"/>
      <c r="R113" s="210"/>
      <c r="S113" s="211"/>
      <c r="T113" s="212"/>
      <c r="U113" s="211"/>
      <c r="V113" s="211"/>
      <c r="W113" s="212"/>
      <c r="X113" s="213"/>
      <c r="Y113" s="214"/>
      <c r="Z113" s="213"/>
      <c r="AA113" s="45"/>
      <c r="AB113" s="45"/>
      <c r="AC113" s="207"/>
      <c r="AD113" s="207"/>
      <c r="AE113" s="207"/>
      <c r="AF113" s="17"/>
      <c r="AG113" s="17"/>
      <c r="AH113" s="215"/>
      <c r="AI113" s="216"/>
      <c r="AJ113" s="217"/>
      <c r="AK113" s="210"/>
      <c r="AL113" s="210"/>
      <c r="AM113" s="210"/>
      <c r="AN113" s="218"/>
      <c r="AO113" s="210"/>
      <c r="AP113" s="219"/>
      <c r="AQ113" s="220"/>
      <c r="AR113" s="219"/>
      <c r="AS113" s="221"/>
      <c r="AT113" s="221"/>
      <c r="AU113" s="222"/>
      <c r="AV113" s="222"/>
      <c r="AW113" s="223"/>
      <c r="AX113" s="223"/>
      <c r="AY113" s="206"/>
      <c r="AZ113" s="224"/>
      <c r="BA113" s="219"/>
      <c r="BB113" s="219"/>
      <c r="BC113" s="219"/>
      <c r="BD113" s="219"/>
      <c r="BE113" s="219"/>
      <c r="BF113" s="219"/>
      <c r="BG113" s="219"/>
      <c r="BH113" s="219"/>
      <c r="BI113" s="219"/>
      <c r="BJ113" s="225"/>
      <c r="BK113" s="225"/>
      <c r="BL113" s="234"/>
      <c r="BM113" s="234"/>
      <c r="BN113" s="235"/>
      <c r="BO113" s="236" t="s">
        <v>382</v>
      </c>
      <c r="BP113" s="243" t="str">
        <f>VLOOKUP(BP112,B:AO,2,0)</f>
        <v>B-1242374</v>
      </c>
      <c r="BQ113" s="238" t="s">
        <v>378</v>
      </c>
      <c r="BR113" s="232"/>
      <c r="BS113" s="232"/>
      <c r="BT113" s="232"/>
    </row>
    <row r="114" ht="16.5" customHeight="1">
      <c r="A114" s="203"/>
      <c r="B114" s="204"/>
      <c r="C114" s="205"/>
      <c r="D114" s="205"/>
      <c r="E114" s="205"/>
      <c r="F114" s="206"/>
      <c r="G114" s="206" t="s">
        <v>1529</v>
      </c>
      <c r="H114" s="414" t="s">
        <v>1530</v>
      </c>
      <c r="I114" s="207"/>
      <c r="J114" s="208"/>
      <c r="K114" s="208"/>
      <c r="L114" s="207"/>
      <c r="M114" s="207"/>
      <c r="N114" s="209"/>
      <c r="O114" s="239"/>
      <c r="P114" s="209"/>
      <c r="Q114" s="210"/>
      <c r="R114" s="210"/>
      <c r="S114" s="211"/>
      <c r="T114" s="212"/>
      <c r="U114" s="211"/>
      <c r="V114" s="211"/>
      <c r="W114" s="212"/>
      <c r="X114" s="213"/>
      <c r="Y114" s="214"/>
      <c r="Z114" s="213"/>
      <c r="AA114" s="45"/>
      <c r="AB114" s="45"/>
      <c r="AC114" s="207"/>
      <c r="AD114" s="207"/>
      <c r="AE114" s="207"/>
      <c r="AF114" s="17"/>
      <c r="AG114" s="17"/>
      <c r="AH114" s="215"/>
      <c r="AI114" s="216"/>
      <c r="AJ114" s="217"/>
      <c r="AK114" s="210"/>
      <c r="AL114" s="210"/>
      <c r="AM114" s="210"/>
      <c r="AN114" s="218"/>
      <c r="AO114" s="210"/>
      <c r="AP114" s="219"/>
      <c r="AQ114" s="220"/>
      <c r="AR114" s="219"/>
      <c r="AS114" s="221"/>
      <c r="AT114" s="221"/>
      <c r="AU114" s="222"/>
      <c r="AV114" s="222"/>
      <c r="AW114" s="223"/>
      <c r="AX114" s="223"/>
      <c r="AY114" s="206"/>
      <c r="AZ114" s="224"/>
      <c r="BA114" s="219"/>
      <c r="BB114" s="219"/>
      <c r="BC114" s="219"/>
      <c r="BD114" s="219"/>
      <c r="BE114" s="219"/>
      <c r="BF114" s="219"/>
      <c r="BG114" s="219"/>
      <c r="BH114" s="219"/>
      <c r="BI114" s="219"/>
      <c r="BJ114" s="225"/>
      <c r="BK114" s="225"/>
      <c r="BL114" s="234"/>
      <c r="BM114" s="234"/>
      <c r="BN114" s="235"/>
      <c r="BO114" s="236" t="s">
        <v>383</v>
      </c>
      <c r="BP114" s="243" t="str">
        <f>VLOOKUP(BP112,B:AO,3,0)</f>
        <v>B-1242378</v>
      </c>
      <c r="BQ114" s="238" t="s">
        <v>378</v>
      </c>
      <c r="BR114" s="232"/>
      <c r="BS114" s="232"/>
      <c r="BT114" s="232"/>
    </row>
    <row r="115" ht="16.5" customHeight="1">
      <c r="A115" s="203"/>
      <c r="B115" s="204"/>
      <c r="C115" s="205"/>
      <c r="D115" s="205"/>
      <c r="E115" s="205"/>
      <c r="F115" s="206"/>
      <c r="G115" s="415" t="s">
        <v>1531</v>
      </c>
      <c r="H115" s="414" t="s">
        <v>1532</v>
      </c>
      <c r="I115" s="207"/>
      <c r="J115" s="208"/>
      <c r="K115" s="208"/>
      <c r="L115" s="207"/>
      <c r="M115" s="207"/>
      <c r="N115" s="209"/>
      <c r="O115" s="239"/>
      <c r="P115" s="209"/>
      <c r="Q115" s="210"/>
      <c r="R115" s="210"/>
      <c r="S115" s="211"/>
      <c r="T115" s="212"/>
      <c r="U115" s="211"/>
      <c r="V115" s="211"/>
      <c r="W115" s="212"/>
      <c r="X115" s="213"/>
      <c r="Y115" s="214"/>
      <c r="Z115" s="213"/>
      <c r="AA115" s="45"/>
      <c r="AB115" s="45"/>
      <c r="AC115" s="207"/>
      <c r="AD115" s="207"/>
      <c r="AE115" s="207"/>
      <c r="AF115" s="17"/>
      <c r="AG115" s="17"/>
      <c r="AH115" s="215"/>
      <c r="AI115" s="216"/>
      <c r="AJ115" s="217"/>
      <c r="AK115" s="210"/>
      <c r="AL115" s="210"/>
      <c r="AM115" s="210"/>
      <c r="AN115" s="218"/>
      <c r="AO115" s="210"/>
      <c r="AP115" s="219"/>
      <c r="AQ115" s="220"/>
      <c r="AR115" s="219"/>
      <c r="AS115" s="221"/>
      <c r="AT115" s="221"/>
      <c r="AU115" s="222"/>
      <c r="AV115" s="222"/>
      <c r="AW115" s="223"/>
      <c r="AX115" s="223"/>
      <c r="AY115" s="206"/>
      <c r="AZ115" s="224"/>
      <c r="BA115" s="219"/>
      <c r="BB115" s="219"/>
      <c r="BC115" s="219"/>
      <c r="BD115" s="219"/>
      <c r="BE115" s="219"/>
      <c r="BF115" s="219"/>
      <c r="BG115" s="219"/>
      <c r="BH115" s="219"/>
      <c r="BI115" s="219"/>
      <c r="BJ115" s="225"/>
      <c r="BK115" s="225"/>
      <c r="BL115" s="234"/>
      <c r="BM115" s="234"/>
      <c r="BN115" s="235"/>
      <c r="BO115" s="236" t="s">
        <v>384</v>
      </c>
      <c r="BP115" s="237" t="str">
        <f>VLOOKUP(BP112,B:AO,5,0)</f>
        <v>VÁRZEA DA ROÇA</v>
      </c>
      <c r="BQ115" s="238" t="s">
        <v>378</v>
      </c>
      <c r="BR115" s="232"/>
      <c r="BS115" s="232"/>
      <c r="BT115" s="232"/>
    </row>
    <row r="116" ht="16.5" customHeight="1">
      <c r="A116" s="203"/>
      <c r="B116" s="204"/>
      <c r="C116" s="205"/>
      <c r="D116" s="205"/>
      <c r="E116" s="205"/>
      <c r="F116" s="206"/>
      <c r="G116" s="206" t="s">
        <v>1533</v>
      </c>
      <c r="H116" s="416" t="s">
        <v>1530</v>
      </c>
      <c r="I116" s="207"/>
      <c r="J116" s="208"/>
      <c r="K116" s="208"/>
      <c r="L116" s="207"/>
      <c r="M116" s="207"/>
      <c r="N116" s="209"/>
      <c r="O116" s="239"/>
      <c r="P116" s="209"/>
      <c r="Q116" s="210"/>
      <c r="R116" s="210"/>
      <c r="S116" s="211"/>
      <c r="T116" s="212"/>
      <c r="U116" s="211"/>
      <c r="V116" s="211"/>
      <c r="W116" s="212"/>
      <c r="X116" s="213"/>
      <c r="Y116" s="214"/>
      <c r="Z116" s="213"/>
      <c r="AA116" s="45"/>
      <c r="AB116" s="45"/>
      <c r="AC116" s="207"/>
      <c r="AD116" s="207"/>
      <c r="AE116" s="207"/>
      <c r="AF116" s="17"/>
      <c r="AG116" s="17"/>
      <c r="AH116" s="215"/>
      <c r="AI116" s="216"/>
      <c r="AJ116" s="217"/>
      <c r="AK116" s="210"/>
      <c r="AL116" s="210"/>
      <c r="AM116" s="210"/>
      <c r="AN116" s="218"/>
      <c r="AO116" s="210"/>
      <c r="AP116" s="219"/>
      <c r="AQ116" s="220"/>
      <c r="AR116" s="219"/>
      <c r="AS116" s="221"/>
      <c r="AT116" s="221"/>
      <c r="AU116" s="222"/>
      <c r="AV116" s="222"/>
      <c r="AW116" s="223"/>
      <c r="AX116" s="223"/>
      <c r="AY116" s="206"/>
      <c r="AZ116" s="224"/>
      <c r="BA116" s="219"/>
      <c r="BB116" s="219"/>
      <c r="BC116" s="219"/>
      <c r="BD116" s="219"/>
      <c r="BE116" s="219"/>
      <c r="BF116" s="219"/>
      <c r="BG116" s="219"/>
      <c r="BH116" s="219"/>
      <c r="BI116" s="219"/>
      <c r="BJ116" s="225"/>
      <c r="BK116" s="225"/>
      <c r="BL116" s="234"/>
      <c r="BM116" s="234"/>
      <c r="BN116" s="235"/>
      <c r="BO116" s="236" t="s">
        <v>385</v>
      </c>
      <c r="BP116" s="241" t="s">
        <v>386</v>
      </c>
      <c r="BQ116" s="238" t="s">
        <v>378</v>
      </c>
      <c r="BR116" s="232"/>
      <c r="BS116" s="232"/>
      <c r="BT116" s="232"/>
    </row>
    <row r="117" ht="16.5" customHeight="1">
      <c r="A117" s="203"/>
      <c r="B117" s="204"/>
      <c r="C117" s="205"/>
      <c r="D117" s="205"/>
      <c r="E117" s="205"/>
      <c r="F117" s="206"/>
      <c r="G117" s="206"/>
      <c r="H117" s="39"/>
      <c r="I117" s="207"/>
      <c r="J117" s="208"/>
      <c r="K117" s="208"/>
      <c r="L117" s="207"/>
      <c r="M117" s="207"/>
      <c r="N117" s="209"/>
      <c r="O117" s="239"/>
      <c r="P117" s="209"/>
      <c r="Q117" s="210"/>
      <c r="R117" s="210"/>
      <c r="S117" s="211"/>
      <c r="T117" s="212"/>
      <c r="U117" s="211"/>
      <c r="V117" s="211"/>
      <c r="W117" s="212"/>
      <c r="X117" s="213"/>
      <c r="Y117" s="214"/>
      <c r="Z117" s="213"/>
      <c r="AA117" s="45"/>
      <c r="AB117" s="45"/>
      <c r="AC117" s="207"/>
      <c r="AD117" s="207"/>
      <c r="AE117" s="207"/>
      <c r="AF117" s="17"/>
      <c r="AG117" s="17"/>
      <c r="AH117" s="215"/>
      <c r="AI117" s="216"/>
      <c r="AJ117" s="217"/>
      <c r="AK117" s="210"/>
      <c r="AL117" s="210"/>
      <c r="AM117" s="210"/>
      <c r="AN117" s="218"/>
      <c r="AO117" s="210"/>
      <c r="AP117" s="219"/>
      <c r="AQ117" s="220"/>
      <c r="AR117" s="219"/>
      <c r="AS117" s="221"/>
      <c r="AT117" s="221"/>
      <c r="AU117" s="222"/>
      <c r="AV117" s="222"/>
      <c r="AW117" s="223"/>
      <c r="AX117" s="223"/>
      <c r="AY117" s="206"/>
      <c r="AZ117" s="224"/>
      <c r="BA117" s="219"/>
      <c r="BB117" s="219"/>
      <c r="BC117" s="219"/>
      <c r="BD117" s="219"/>
      <c r="BE117" s="219"/>
      <c r="BF117" s="219"/>
      <c r="BG117" s="219"/>
      <c r="BH117" s="219"/>
      <c r="BI117" s="219"/>
      <c r="BJ117" s="225"/>
      <c r="BK117" s="225"/>
      <c r="BL117" s="234"/>
      <c r="BM117" s="234"/>
      <c r="BN117" s="235"/>
      <c r="BO117" s="236" t="s">
        <v>387</v>
      </c>
      <c r="BP117" s="237" t="str">
        <f>VLOOKUP(BP112,B:AO,11,0)</f>
        <v>PLANO 7</v>
      </c>
      <c r="BQ117" s="238" t="s">
        <v>378</v>
      </c>
      <c r="BR117" s="232"/>
      <c r="BS117" s="232"/>
      <c r="BT117" s="232"/>
    </row>
    <row r="118" ht="16.5" customHeight="1">
      <c r="A118" s="203"/>
      <c r="B118" s="204"/>
      <c r="C118" s="205"/>
      <c r="D118" s="205"/>
      <c r="E118" s="205"/>
      <c r="F118" s="206"/>
      <c r="G118" s="206" t="s">
        <v>1534</v>
      </c>
      <c r="H118" s="39"/>
      <c r="I118" s="207"/>
      <c r="J118" s="208"/>
      <c r="K118" s="208"/>
      <c r="L118" s="207"/>
      <c r="M118" s="207"/>
      <c r="N118" s="209"/>
      <c r="O118" s="239"/>
      <c r="P118" s="209"/>
      <c r="Q118" s="210"/>
      <c r="R118" s="210"/>
      <c r="S118" s="211"/>
      <c r="T118" s="212"/>
      <c r="U118" s="211"/>
      <c r="V118" s="211"/>
      <c r="W118" s="212"/>
      <c r="X118" s="213"/>
      <c r="Y118" s="214"/>
      <c r="Z118" s="213"/>
      <c r="AA118" s="45"/>
      <c r="AB118" s="45"/>
      <c r="AC118" s="207"/>
      <c r="AD118" s="207"/>
      <c r="AE118" s="207"/>
      <c r="AF118" s="17"/>
      <c r="AG118" s="17"/>
      <c r="AH118" s="215"/>
      <c r="AI118" s="216"/>
      <c r="AJ118" s="217"/>
      <c r="AK118" s="210"/>
      <c r="AL118" s="210"/>
      <c r="AM118" s="210"/>
      <c r="AN118" s="218"/>
      <c r="AO118" s="210"/>
      <c r="AP118" s="219"/>
      <c r="AQ118" s="220"/>
      <c r="AR118" s="219"/>
      <c r="AS118" s="221"/>
      <c r="AT118" s="221"/>
      <c r="AU118" s="222"/>
      <c r="AV118" s="222"/>
      <c r="AW118" s="223"/>
      <c r="AX118" s="223"/>
      <c r="AY118" s="206"/>
      <c r="AZ118" s="224"/>
      <c r="BA118" s="219"/>
      <c r="BB118" s="219"/>
      <c r="BC118" s="219"/>
      <c r="BD118" s="219"/>
      <c r="BE118" s="219"/>
      <c r="BF118" s="219"/>
      <c r="BG118" s="219"/>
      <c r="BH118" s="219"/>
      <c r="BI118" s="219"/>
      <c r="BJ118" s="225"/>
      <c r="BK118" s="225"/>
      <c r="BL118" s="234"/>
      <c r="BM118" s="234"/>
      <c r="BN118" s="235"/>
      <c r="BO118" s="236" t="s">
        <v>388</v>
      </c>
      <c r="BP118" s="237" t="str">
        <f>VLOOKUP(BP112,B:AO,12,0)</f>
        <v>QLP</v>
      </c>
      <c r="BQ118" s="238" t="s">
        <v>378</v>
      </c>
      <c r="BR118" s="232"/>
      <c r="BS118" s="232"/>
      <c r="BT118" s="232"/>
    </row>
    <row r="119" ht="16.5" customHeight="1">
      <c r="A119" s="203"/>
      <c r="B119" s="204"/>
      <c r="C119" s="205"/>
      <c r="D119" s="205"/>
      <c r="E119" s="205"/>
      <c r="F119" s="206"/>
      <c r="G119" s="415" t="s">
        <v>1535</v>
      </c>
      <c r="H119" s="416" t="s">
        <v>1536</v>
      </c>
      <c r="I119" s="207"/>
      <c r="J119" s="208"/>
      <c r="K119" s="208"/>
      <c r="L119" s="207"/>
      <c r="M119" s="207"/>
      <c r="N119" s="209"/>
      <c r="O119" s="239"/>
      <c r="P119" s="209"/>
      <c r="Q119" s="210"/>
      <c r="R119" s="210"/>
      <c r="S119" s="211"/>
      <c r="T119" s="212"/>
      <c r="U119" s="211"/>
      <c r="V119" s="211"/>
      <c r="W119" s="212"/>
      <c r="X119" s="213"/>
      <c r="Y119" s="214"/>
      <c r="Z119" s="213"/>
      <c r="AA119" s="45"/>
      <c r="AB119" s="45"/>
      <c r="AC119" s="207"/>
      <c r="AD119" s="207"/>
      <c r="AE119" s="207"/>
      <c r="AF119" s="17"/>
      <c r="AG119" s="17"/>
      <c r="AH119" s="215"/>
      <c r="AI119" s="216"/>
      <c r="AJ119" s="217"/>
      <c r="AK119" s="210"/>
      <c r="AL119" s="210"/>
      <c r="AM119" s="210"/>
      <c r="AN119" s="218"/>
      <c r="AO119" s="210"/>
      <c r="AP119" s="219"/>
      <c r="AQ119" s="220"/>
      <c r="AR119" s="219"/>
      <c r="AS119" s="221"/>
      <c r="AT119" s="221"/>
      <c r="AU119" s="222"/>
      <c r="AV119" s="222"/>
      <c r="AW119" s="223"/>
      <c r="AX119" s="223"/>
      <c r="AY119" s="206"/>
      <c r="AZ119" s="224"/>
      <c r="BA119" s="219"/>
      <c r="BB119" s="219"/>
      <c r="BC119" s="219"/>
      <c r="BD119" s="219"/>
      <c r="BE119" s="219"/>
      <c r="BF119" s="219"/>
      <c r="BG119" s="219"/>
      <c r="BH119" s="219"/>
      <c r="BI119" s="219"/>
      <c r="BJ119" s="225"/>
      <c r="BK119" s="225"/>
      <c r="BL119" s="234"/>
      <c r="BM119" s="234"/>
      <c r="BN119" s="235"/>
      <c r="BO119" s="236" t="s">
        <v>389</v>
      </c>
      <c r="BP119" s="237" t="str">
        <f>VLOOKUP(BP112,B:AO,10,0)</f>
        <v>MANOEL GUSTAVO OLIVEIRA DOS S CONCEICAO - U464710</v>
      </c>
      <c r="BQ119" s="238" t="s">
        <v>378</v>
      </c>
      <c r="BR119" s="232"/>
      <c r="BS119" s="232"/>
      <c r="BT119" s="232"/>
    </row>
    <row r="120" ht="16.5" customHeight="1">
      <c r="A120" s="203"/>
      <c r="B120" s="204"/>
      <c r="C120" s="205"/>
      <c r="D120" s="205"/>
      <c r="E120" s="205"/>
      <c r="F120" s="206"/>
      <c r="G120" s="206" t="s">
        <v>1537</v>
      </c>
      <c r="H120" s="414" t="s">
        <v>1538</v>
      </c>
      <c r="I120" s="207"/>
      <c r="J120" s="208"/>
      <c r="K120" s="208"/>
      <c r="L120" s="207"/>
      <c r="M120" s="207"/>
      <c r="N120" s="209"/>
      <c r="O120" s="239"/>
      <c r="P120" s="209"/>
      <c r="Q120" s="210"/>
      <c r="R120" s="210"/>
      <c r="S120" s="211"/>
      <c r="T120" s="212"/>
      <c r="U120" s="211"/>
      <c r="V120" s="211"/>
      <c r="W120" s="212"/>
      <c r="X120" s="213"/>
      <c r="Y120" s="214"/>
      <c r="Z120" s="213"/>
      <c r="AA120" s="45"/>
      <c r="AB120" s="45"/>
      <c r="AC120" s="207"/>
      <c r="AD120" s="207"/>
      <c r="AE120" s="207"/>
      <c r="AF120" s="17"/>
      <c r="AG120" s="17"/>
      <c r="AH120" s="215"/>
      <c r="AI120" s="216"/>
      <c r="AJ120" s="217"/>
      <c r="AK120" s="210"/>
      <c r="AL120" s="210"/>
      <c r="AM120" s="210"/>
      <c r="AN120" s="218"/>
      <c r="AO120" s="210"/>
      <c r="AP120" s="219"/>
      <c r="AQ120" s="220"/>
      <c r="AR120" s="219"/>
      <c r="AS120" s="221"/>
      <c r="AT120" s="221"/>
      <c r="AU120" s="222"/>
      <c r="AV120" s="222"/>
      <c r="AW120" s="223"/>
      <c r="AX120" s="223"/>
      <c r="AY120" s="206"/>
      <c r="AZ120" s="224"/>
      <c r="BA120" s="219"/>
      <c r="BB120" s="219"/>
      <c r="BC120" s="219"/>
      <c r="BD120" s="219"/>
      <c r="BE120" s="219"/>
      <c r="BF120" s="219"/>
      <c r="BG120" s="219"/>
      <c r="BH120" s="219"/>
      <c r="BI120" s="219"/>
      <c r="BJ120" s="225"/>
      <c r="BK120" s="225"/>
      <c r="BL120" s="234"/>
      <c r="BM120" s="234"/>
      <c r="BN120" s="235"/>
      <c r="BO120" s="236" t="s">
        <v>390</v>
      </c>
      <c r="BP120" s="237" t="str">
        <f>VLOOKUP(BP112,B:L,8,0)</f>
        <v>FABIANO LOPES DE MORAES - MRA554506</v>
      </c>
      <c r="BQ120" s="238" t="s">
        <v>378</v>
      </c>
      <c r="BR120" s="232"/>
      <c r="BS120" s="232"/>
      <c r="BT120" s="232"/>
    </row>
    <row r="121" ht="16.5" customHeight="1">
      <c r="A121" s="203"/>
      <c r="B121" s="204"/>
      <c r="C121" s="205"/>
      <c r="D121" s="205"/>
      <c r="E121" s="205"/>
      <c r="F121" s="206"/>
      <c r="G121" s="206"/>
      <c r="H121" s="416" t="s">
        <v>1539</v>
      </c>
      <c r="I121" s="207"/>
      <c r="J121" s="208"/>
      <c r="K121" s="208"/>
      <c r="L121" s="207"/>
      <c r="M121" s="207"/>
      <c r="N121" s="209"/>
      <c r="O121" s="239"/>
      <c r="P121" s="209"/>
      <c r="Q121" s="210"/>
      <c r="R121" s="210"/>
      <c r="S121" s="211"/>
      <c r="T121" s="212"/>
      <c r="U121" s="211"/>
      <c r="V121" s="211"/>
      <c r="W121" s="212"/>
      <c r="X121" s="213"/>
      <c r="Y121" s="214"/>
      <c r="Z121" s="213"/>
      <c r="AA121" s="45"/>
      <c r="AB121" s="45"/>
      <c r="AC121" s="207"/>
      <c r="AD121" s="207"/>
      <c r="AE121" s="207"/>
      <c r="AF121" s="17"/>
      <c r="AG121" s="17"/>
      <c r="AH121" s="215"/>
      <c r="AI121" s="216"/>
      <c r="AJ121" s="217"/>
      <c r="AK121" s="210"/>
      <c r="AL121" s="210"/>
      <c r="AM121" s="210"/>
      <c r="AN121" s="218"/>
      <c r="AO121" s="210"/>
      <c r="AP121" s="219"/>
      <c r="AQ121" s="220"/>
      <c r="AR121" s="219"/>
      <c r="AS121" s="221"/>
      <c r="AT121" s="221"/>
      <c r="AU121" s="222"/>
      <c r="AV121" s="222"/>
      <c r="AW121" s="223"/>
      <c r="AX121" s="223"/>
      <c r="AY121" s="206"/>
      <c r="AZ121" s="224"/>
      <c r="BA121" s="219"/>
      <c r="BB121" s="219"/>
      <c r="BC121" s="219"/>
      <c r="BD121" s="219"/>
      <c r="BE121" s="219"/>
      <c r="BF121" s="219"/>
      <c r="BG121" s="219"/>
      <c r="BH121" s="219"/>
      <c r="BI121" s="219"/>
      <c r="BJ121" s="225"/>
      <c r="BK121" s="225"/>
      <c r="BL121" s="234"/>
      <c r="BM121" s="234"/>
      <c r="BN121" s="235"/>
      <c r="BO121" s="236" t="s">
        <v>391</v>
      </c>
      <c r="BP121" s="237" t="str">
        <f>VLOOKUP(BP112,B:J,9,0)</f>
        <v>GILVANDO RIOS DA CRUZ - NTS025538</v>
      </c>
      <c r="BQ121" s="238" t="s">
        <v>378</v>
      </c>
      <c r="BR121" s="232"/>
      <c r="BS121" s="232"/>
      <c r="BT121" s="232"/>
    </row>
    <row r="122" ht="16.5" customHeight="1">
      <c r="A122" s="203"/>
      <c r="B122" s="204"/>
      <c r="C122" s="205"/>
      <c r="D122" s="205"/>
      <c r="E122" s="205"/>
      <c r="F122" s="206"/>
      <c r="G122" s="206"/>
      <c r="H122" s="39"/>
      <c r="I122" s="207"/>
      <c r="J122" s="208"/>
      <c r="K122" s="208"/>
      <c r="L122" s="207"/>
      <c r="M122" s="207"/>
      <c r="N122" s="209"/>
      <c r="O122" s="239"/>
      <c r="P122" s="209"/>
      <c r="Q122" s="210"/>
      <c r="R122" s="210"/>
      <c r="S122" s="211"/>
      <c r="T122" s="212"/>
      <c r="U122" s="211"/>
      <c r="V122" s="211"/>
      <c r="W122" s="212"/>
      <c r="X122" s="213"/>
      <c r="Y122" s="214"/>
      <c r="Z122" s="213"/>
      <c r="AA122" s="45"/>
      <c r="AB122" s="45"/>
      <c r="AC122" s="207"/>
      <c r="AD122" s="207"/>
      <c r="AE122" s="207"/>
      <c r="AF122" s="17"/>
      <c r="AG122" s="17"/>
      <c r="AH122" s="215"/>
      <c r="AI122" s="216"/>
      <c r="AJ122" s="217"/>
      <c r="AK122" s="210"/>
      <c r="AL122" s="210"/>
      <c r="AM122" s="210"/>
      <c r="AN122" s="218"/>
      <c r="AO122" s="210"/>
      <c r="AP122" s="219"/>
      <c r="AQ122" s="220"/>
      <c r="AR122" s="219"/>
      <c r="AS122" s="221"/>
      <c r="AT122" s="221"/>
      <c r="AU122" s="222"/>
      <c r="AV122" s="222"/>
      <c r="AW122" s="223"/>
      <c r="AX122" s="223"/>
      <c r="AY122" s="206"/>
      <c r="AZ122" s="224"/>
      <c r="BA122" s="219"/>
      <c r="BB122" s="219"/>
      <c r="BC122" s="219"/>
      <c r="BD122" s="219"/>
      <c r="BE122" s="219"/>
      <c r="BF122" s="219"/>
      <c r="BG122" s="219"/>
      <c r="BH122" s="219"/>
      <c r="BI122" s="219"/>
      <c r="BJ122" s="225"/>
      <c r="BK122" s="225"/>
      <c r="BL122" s="234"/>
      <c r="BM122" s="234"/>
      <c r="BN122" s="235"/>
      <c r="BO122" s="236" t="s">
        <v>392</v>
      </c>
      <c r="BP122" s="417" t="str">
        <f>VLOOKUP(BP112,B:AO,21,0)</f>
        <v>2026-10819</v>
      </c>
      <c r="BQ122" s="238" t="s">
        <v>378</v>
      </c>
      <c r="BR122" s="232"/>
      <c r="BS122" s="232"/>
      <c r="BT122" s="232"/>
    </row>
    <row r="123" ht="16.5" customHeight="1">
      <c r="A123" s="203"/>
      <c r="B123" s="204"/>
      <c r="C123" s="205"/>
      <c r="D123" s="205"/>
      <c r="E123" s="205"/>
      <c r="F123" s="206"/>
      <c r="G123" s="206"/>
      <c r="H123" s="39"/>
      <c r="I123" s="207"/>
      <c r="J123" s="208"/>
      <c r="K123" s="208"/>
      <c r="L123" s="207"/>
      <c r="M123" s="207"/>
      <c r="N123" s="209"/>
      <c r="O123" s="239"/>
      <c r="P123" s="209"/>
      <c r="Q123" s="210"/>
      <c r="R123" s="210"/>
      <c r="S123" s="211"/>
      <c r="T123" s="212"/>
      <c r="U123" s="211"/>
      <c r="V123" s="211"/>
      <c r="W123" s="212"/>
      <c r="X123" s="213"/>
      <c r="Y123" s="214"/>
      <c r="Z123" s="213"/>
      <c r="AA123" s="45"/>
      <c r="AB123" s="45"/>
      <c r="AC123" s="207"/>
      <c r="AD123" s="207"/>
      <c r="AE123" s="207"/>
      <c r="AF123" s="17"/>
      <c r="AG123" s="17"/>
      <c r="AH123" s="215"/>
      <c r="AI123" s="216"/>
      <c r="AJ123" s="217"/>
      <c r="AK123" s="210"/>
      <c r="AL123" s="210"/>
      <c r="AM123" s="210"/>
      <c r="AN123" s="218"/>
      <c r="AO123" s="210"/>
      <c r="AP123" s="219"/>
      <c r="AQ123" s="220"/>
      <c r="AR123" s="219"/>
      <c r="AS123" s="221"/>
      <c r="AT123" s="221"/>
      <c r="AU123" s="222"/>
      <c r="AV123" s="222"/>
      <c r="AW123" s="223"/>
      <c r="AX123" s="223"/>
      <c r="AY123" s="206"/>
      <c r="AZ123" s="224"/>
      <c r="BA123" s="219"/>
      <c r="BB123" s="219"/>
      <c r="BC123" s="219"/>
      <c r="BD123" s="219"/>
      <c r="BE123" s="219"/>
      <c r="BF123" s="219"/>
      <c r="BG123" s="219"/>
      <c r="BH123" s="219"/>
      <c r="BI123" s="219"/>
      <c r="BJ123" s="225"/>
      <c r="BK123" s="225"/>
      <c r="BL123" s="234"/>
      <c r="BM123" s="234"/>
      <c r="BN123" s="235"/>
      <c r="BO123" s="236" t="s">
        <v>393</v>
      </c>
      <c r="BP123" s="237" t="str">
        <f>VLOOKUP(BP112,B:AO,40,0)</f>
        <v>2026-2-48005</v>
      </c>
      <c r="BQ123" s="238" t="s">
        <v>378</v>
      </c>
      <c r="BR123" s="232"/>
      <c r="BS123" s="232"/>
      <c r="BT123" s="232"/>
    </row>
    <row r="124" ht="16.5" customHeight="1">
      <c r="A124" s="203"/>
      <c r="B124" s="204"/>
      <c r="C124" s="205"/>
      <c r="D124" s="205"/>
      <c r="E124" s="205"/>
      <c r="F124" s="206"/>
      <c r="G124" s="206"/>
      <c r="H124" s="39"/>
      <c r="I124" s="207"/>
      <c r="J124" s="208"/>
      <c r="K124" s="208"/>
      <c r="L124" s="207"/>
      <c r="M124" s="207"/>
      <c r="N124" s="209"/>
      <c r="O124" s="239"/>
      <c r="P124" s="209"/>
      <c r="Q124" s="210"/>
      <c r="R124" s="210"/>
      <c r="S124" s="211"/>
      <c r="T124" s="212"/>
      <c r="U124" s="211"/>
      <c r="V124" s="211"/>
      <c r="W124" s="212"/>
      <c r="X124" s="213"/>
      <c r="Y124" s="214"/>
      <c r="Z124" s="213"/>
      <c r="AA124" s="45"/>
      <c r="AB124" s="45"/>
      <c r="AC124" s="207"/>
      <c r="AD124" s="207"/>
      <c r="AE124" s="207"/>
      <c r="AF124" s="17"/>
      <c r="AG124" s="17"/>
      <c r="AH124" s="215"/>
      <c r="AI124" s="216"/>
      <c r="AJ124" s="217"/>
      <c r="AK124" s="210"/>
      <c r="AL124" s="210"/>
      <c r="AM124" s="210"/>
      <c r="AN124" s="218"/>
      <c r="AO124" s="210"/>
      <c r="AP124" s="219"/>
      <c r="AQ124" s="220"/>
      <c r="AR124" s="219"/>
      <c r="AS124" s="221"/>
      <c r="AT124" s="221"/>
      <c r="AU124" s="222"/>
      <c r="AV124" s="222"/>
      <c r="AW124" s="223"/>
      <c r="AX124" s="223"/>
      <c r="AY124" s="206"/>
      <c r="AZ124" s="224"/>
      <c r="BA124" s="219"/>
      <c r="BB124" s="219"/>
      <c r="BC124" s="219"/>
      <c r="BD124" s="219"/>
      <c r="BE124" s="219"/>
      <c r="BF124" s="219"/>
      <c r="BG124" s="219"/>
      <c r="BH124" s="219"/>
      <c r="BI124" s="219"/>
      <c r="BJ124" s="225"/>
      <c r="BK124" s="225"/>
      <c r="BL124" s="234"/>
      <c r="BM124" s="234"/>
      <c r="BN124" s="235"/>
      <c r="BO124" s="236" t="s">
        <v>394</v>
      </c>
      <c r="BP124" s="245">
        <f>VLOOKUP(BP112,B:AO,39,0)</f>
        <v>46066</v>
      </c>
      <c r="BQ124" s="238" t="s">
        <v>378</v>
      </c>
      <c r="BR124" s="232"/>
      <c r="BS124" s="232"/>
      <c r="BT124" s="232"/>
    </row>
    <row r="125" ht="16.5" customHeight="1">
      <c r="A125" s="203"/>
      <c r="B125" s="204"/>
      <c r="C125" s="205"/>
      <c r="D125" s="205"/>
      <c r="E125" s="205"/>
      <c r="F125" s="206"/>
      <c r="G125" s="206"/>
      <c r="H125" s="39"/>
      <c r="I125" s="207"/>
      <c r="J125" s="208"/>
      <c r="K125" s="208"/>
      <c r="L125" s="207"/>
      <c r="M125" s="207"/>
      <c r="N125" s="209"/>
      <c r="O125" s="239"/>
      <c r="P125" s="209"/>
      <c r="Q125" s="210"/>
      <c r="R125" s="210"/>
      <c r="S125" s="211"/>
      <c r="T125" s="212"/>
      <c r="U125" s="211"/>
      <c r="V125" s="211"/>
      <c r="W125" s="212"/>
      <c r="X125" s="213"/>
      <c r="Y125" s="214"/>
      <c r="Z125" s="213"/>
      <c r="AA125" s="45"/>
      <c r="AB125" s="45"/>
      <c r="AC125" s="207"/>
      <c r="AD125" s="207"/>
      <c r="AE125" s="207"/>
      <c r="AF125" s="17"/>
      <c r="AG125" s="17"/>
      <c r="AH125" s="215"/>
      <c r="AI125" s="216"/>
      <c r="AJ125" s="217"/>
      <c r="AK125" s="210"/>
      <c r="AL125" s="210"/>
      <c r="AM125" s="210"/>
      <c r="AN125" s="218"/>
      <c r="AO125" s="210"/>
      <c r="AP125" s="219"/>
      <c r="AQ125" s="220"/>
      <c r="AR125" s="219"/>
      <c r="AS125" s="221"/>
      <c r="AT125" s="221"/>
      <c r="AU125" s="222"/>
      <c r="AV125" s="222"/>
      <c r="AW125" s="223"/>
      <c r="AX125" s="223"/>
      <c r="AY125" s="206"/>
      <c r="AZ125" s="224"/>
      <c r="BA125" s="219"/>
      <c r="BB125" s="219"/>
      <c r="BC125" s="219"/>
      <c r="BD125" s="219"/>
      <c r="BE125" s="219"/>
      <c r="BF125" s="219"/>
      <c r="BG125" s="219"/>
      <c r="BH125" s="219"/>
      <c r="BI125" s="219"/>
      <c r="BJ125" s="225"/>
      <c r="BK125" s="225"/>
      <c r="BL125" s="234"/>
      <c r="BM125" s="234"/>
      <c r="BN125" s="235"/>
      <c r="BO125" s="236" t="s">
        <v>395</v>
      </c>
      <c r="BP125" s="418">
        <f>VLOOKUP(BP112,B:AO,32,0)</f>
        <v>16</v>
      </c>
      <c r="BQ125" s="238" t="s">
        <v>378</v>
      </c>
      <c r="BR125" s="232"/>
      <c r="BS125" s="232"/>
      <c r="BT125" s="232"/>
    </row>
    <row r="126" ht="16.5" customHeight="1">
      <c r="A126" s="203"/>
      <c r="B126" s="204"/>
      <c r="C126" s="205"/>
      <c r="D126" s="205"/>
      <c r="E126" s="205"/>
      <c r="F126" s="206"/>
      <c r="G126" s="206"/>
      <c r="H126" s="39"/>
      <c r="I126" s="207"/>
      <c r="J126" s="208"/>
      <c r="K126" s="208"/>
      <c r="L126" s="207"/>
      <c r="M126" s="207"/>
      <c r="N126" s="209"/>
      <c r="O126" s="239"/>
      <c r="P126" s="209"/>
      <c r="Q126" s="210"/>
      <c r="R126" s="210"/>
      <c r="S126" s="211"/>
      <c r="T126" s="212"/>
      <c r="U126" s="211"/>
      <c r="V126" s="211"/>
      <c r="W126" s="212"/>
      <c r="X126" s="213"/>
      <c r="Y126" s="214"/>
      <c r="Z126" s="213"/>
      <c r="AA126" s="45"/>
      <c r="AB126" s="45"/>
      <c r="AC126" s="207"/>
      <c r="AD126" s="207"/>
      <c r="AE126" s="207"/>
      <c r="AF126" s="17"/>
      <c r="AG126" s="17"/>
      <c r="AH126" s="215"/>
      <c r="AI126" s="216"/>
      <c r="AJ126" s="217"/>
      <c r="AK126" s="210"/>
      <c r="AL126" s="210"/>
      <c r="AM126" s="210"/>
      <c r="AN126" s="218"/>
      <c r="AO126" s="210"/>
      <c r="AP126" s="219"/>
      <c r="AQ126" s="220"/>
      <c r="AR126" s="219"/>
      <c r="AS126" s="221"/>
      <c r="AT126" s="221"/>
      <c r="AU126" s="222"/>
      <c r="AV126" s="222"/>
      <c r="AW126" s="223"/>
      <c r="AX126" s="223"/>
      <c r="AY126" s="206"/>
      <c r="AZ126" s="224"/>
      <c r="BA126" s="219"/>
      <c r="BB126" s="219"/>
      <c r="BC126" s="219"/>
      <c r="BD126" s="219"/>
      <c r="BE126" s="219"/>
      <c r="BF126" s="219"/>
      <c r="BG126" s="219"/>
      <c r="BH126" s="219"/>
      <c r="BI126" s="219"/>
      <c r="BJ126" s="225"/>
      <c r="BK126" s="225"/>
      <c r="BL126" s="234"/>
      <c r="BM126" s="234"/>
      <c r="BN126" s="240"/>
      <c r="BO126" s="236" t="s">
        <v>396</v>
      </c>
      <c r="BP126" s="418" t="str">
        <f>IF(BP130=0,"N/A",BP130)</f>
        <v>N/A</v>
      </c>
      <c r="BQ126" s="246" t="s">
        <v>397</v>
      </c>
      <c r="BR126" s="232"/>
      <c r="BS126" s="232"/>
      <c r="BT126" s="232"/>
    </row>
    <row r="127" ht="16.5" customHeight="1">
      <c r="A127" s="203"/>
      <c r="B127" s="204"/>
      <c r="C127" s="205"/>
      <c r="D127" s="205"/>
      <c r="E127" s="205"/>
      <c r="F127" s="206"/>
      <c r="G127" s="206"/>
      <c r="H127" s="39"/>
      <c r="I127" s="207"/>
      <c r="J127" s="208"/>
      <c r="K127" s="208"/>
      <c r="L127" s="207"/>
      <c r="M127" s="207"/>
      <c r="N127" s="209"/>
      <c r="O127" s="239"/>
      <c r="P127" s="209"/>
      <c r="Q127" s="210"/>
      <c r="R127" s="210"/>
      <c r="S127" s="211"/>
      <c r="T127" s="212"/>
      <c r="U127" s="211"/>
      <c r="V127" s="211"/>
      <c r="W127" s="212"/>
      <c r="X127" s="213"/>
      <c r="Y127" s="214"/>
      <c r="Z127" s="213"/>
      <c r="AA127" s="45"/>
      <c r="AB127" s="45"/>
      <c r="AC127" s="207"/>
      <c r="AD127" s="207"/>
      <c r="AE127" s="207"/>
      <c r="AF127" s="17"/>
      <c r="AG127" s="17"/>
      <c r="AH127" s="215"/>
      <c r="AI127" s="216"/>
      <c r="AJ127" s="217"/>
      <c r="AK127" s="210"/>
      <c r="AL127" s="210"/>
      <c r="AM127" s="210"/>
      <c r="AN127" s="218"/>
      <c r="AO127" s="210"/>
      <c r="AP127" s="219"/>
      <c r="AQ127" s="220"/>
      <c r="AR127" s="219"/>
      <c r="AS127" s="221"/>
      <c r="AT127" s="221"/>
      <c r="AU127" s="222"/>
      <c r="AV127" s="222"/>
      <c r="AW127" s="223"/>
      <c r="AX127" s="223"/>
      <c r="AY127" s="206"/>
      <c r="AZ127" s="224"/>
      <c r="BA127" s="219"/>
      <c r="BB127" s="219"/>
      <c r="BC127" s="219"/>
      <c r="BD127" s="219"/>
      <c r="BE127" s="219"/>
      <c r="BF127" s="219"/>
      <c r="BG127" s="219"/>
      <c r="BH127" s="219"/>
      <c r="BI127" s="219"/>
      <c r="BJ127" s="225"/>
      <c r="BK127" s="225"/>
      <c r="BL127" s="234"/>
      <c r="BM127" s="234"/>
      <c r="BN127" s="240"/>
      <c r="BO127" s="236" t="s">
        <v>398</v>
      </c>
      <c r="BP127" s="419">
        <v>0.0</v>
      </c>
      <c r="BQ127" s="246" t="s">
        <v>399</v>
      </c>
      <c r="BR127" s="232"/>
      <c r="BS127" s="232"/>
      <c r="BT127" s="232"/>
    </row>
    <row r="128" ht="16.5" customHeight="1">
      <c r="A128" s="203"/>
      <c r="B128" s="204"/>
      <c r="C128" s="205"/>
      <c r="D128" s="205"/>
      <c r="E128" s="205"/>
      <c r="F128" s="206"/>
      <c r="G128" s="206"/>
      <c r="H128" s="39"/>
      <c r="I128" s="207"/>
      <c r="J128" s="208"/>
      <c r="K128" s="208"/>
      <c r="L128" s="207"/>
      <c r="M128" s="207"/>
      <c r="N128" s="209"/>
      <c r="O128" s="239"/>
      <c r="P128" s="209"/>
      <c r="Q128" s="210"/>
      <c r="R128" s="210"/>
      <c r="S128" s="211"/>
      <c r="T128" s="212"/>
      <c r="U128" s="211"/>
      <c r="V128" s="211"/>
      <c r="W128" s="212"/>
      <c r="X128" s="213"/>
      <c r="Y128" s="214"/>
      <c r="Z128" s="213"/>
      <c r="AA128" s="45"/>
      <c r="AB128" s="45"/>
      <c r="AC128" s="207"/>
      <c r="AD128" s="207"/>
      <c r="AE128" s="207"/>
      <c r="AF128" s="17"/>
      <c r="AG128" s="17"/>
      <c r="AH128" s="215"/>
      <c r="AI128" s="216"/>
      <c r="AJ128" s="217"/>
      <c r="AK128" s="210"/>
      <c r="AL128" s="210"/>
      <c r="AM128" s="210"/>
      <c r="AN128" s="218"/>
      <c r="AO128" s="210"/>
      <c r="AP128" s="219"/>
      <c r="AQ128" s="220"/>
      <c r="AR128" s="219"/>
      <c r="AS128" s="221"/>
      <c r="AT128" s="221"/>
      <c r="AU128" s="222"/>
      <c r="AV128" s="222"/>
      <c r="AW128" s="223"/>
      <c r="AX128" s="223"/>
      <c r="AY128" s="206"/>
      <c r="AZ128" s="224"/>
      <c r="BA128" s="219"/>
      <c r="BB128" s="219"/>
      <c r="BC128" s="219"/>
      <c r="BD128" s="219"/>
      <c r="BE128" s="219"/>
      <c r="BF128" s="219"/>
      <c r="BG128" s="219"/>
      <c r="BH128" s="219"/>
      <c r="BI128" s="219"/>
      <c r="BJ128" s="225"/>
      <c r="BK128" s="225"/>
      <c r="BL128" s="234"/>
      <c r="BM128" s="234"/>
      <c r="BN128" s="240"/>
      <c r="BO128" s="236" t="s">
        <v>400</v>
      </c>
      <c r="BP128" s="248"/>
      <c r="BQ128" s="246" t="s">
        <v>401</v>
      </c>
      <c r="BR128" s="232"/>
      <c r="BS128" s="232"/>
      <c r="BT128" s="232"/>
    </row>
    <row r="129">
      <c r="A129" s="203"/>
      <c r="B129" s="204"/>
      <c r="C129" s="205"/>
      <c r="D129" s="205"/>
      <c r="E129" s="205"/>
      <c r="F129" s="206"/>
      <c r="G129" s="206"/>
      <c r="H129" s="39"/>
      <c r="I129" s="207"/>
      <c r="J129" s="208"/>
      <c r="K129" s="208"/>
      <c r="L129" s="207"/>
      <c r="M129" s="207"/>
      <c r="N129" s="209"/>
      <c r="O129" s="239"/>
      <c r="P129" s="209"/>
      <c r="Q129" s="210"/>
      <c r="R129" s="210"/>
      <c r="S129" s="211"/>
      <c r="T129" s="212"/>
      <c r="U129" s="211"/>
      <c r="V129" s="211"/>
      <c r="W129" s="212"/>
      <c r="X129" s="213"/>
      <c r="Y129" s="214"/>
      <c r="Z129" s="213"/>
      <c r="AA129" s="45"/>
      <c r="AB129" s="45"/>
      <c r="AC129" s="207"/>
      <c r="AD129" s="207"/>
      <c r="AE129" s="207"/>
      <c r="AF129" s="17"/>
      <c r="AG129" s="17"/>
      <c r="AH129" s="215"/>
      <c r="AI129" s="216"/>
      <c r="AJ129" s="217"/>
      <c r="AK129" s="210"/>
      <c r="AL129" s="210"/>
      <c r="AM129" s="210"/>
      <c r="AN129" s="218"/>
      <c r="AO129" s="210"/>
      <c r="AP129" s="219"/>
      <c r="AQ129" s="220"/>
      <c r="AR129" s="219"/>
      <c r="AS129" s="221"/>
      <c r="AT129" s="221"/>
      <c r="AU129" s="222"/>
      <c r="AV129" s="222"/>
      <c r="AW129" s="223"/>
      <c r="AX129" s="223"/>
      <c r="AY129" s="206"/>
      <c r="AZ129" s="224"/>
      <c r="BA129" s="219"/>
      <c r="BB129" s="219"/>
      <c r="BC129" s="219"/>
      <c r="BD129" s="219"/>
      <c r="BE129" s="219"/>
      <c r="BF129" s="219"/>
      <c r="BG129" s="219"/>
      <c r="BH129" s="219"/>
      <c r="BI129" s="219"/>
      <c r="BJ129" s="225"/>
      <c r="BK129" s="226"/>
      <c r="BL129" s="249"/>
      <c r="BM129" s="249"/>
      <c r="BN129" s="31"/>
      <c r="BO129" s="32"/>
      <c r="BP129" s="61" t="s">
        <v>402</v>
      </c>
      <c r="BQ129" s="32"/>
      <c r="BR129" s="32"/>
      <c r="BS129" s="32"/>
      <c r="BT129" s="32"/>
    </row>
    <row r="130">
      <c r="A130" s="203"/>
      <c r="B130" s="204"/>
      <c r="C130" s="205"/>
      <c r="D130" s="205"/>
      <c r="E130" s="205"/>
      <c r="F130" s="206"/>
      <c r="G130" s="206"/>
      <c r="H130" s="39"/>
      <c r="I130" s="207"/>
      <c r="J130" s="208"/>
      <c r="K130" s="208"/>
      <c r="L130" s="207"/>
      <c r="M130" s="207"/>
      <c r="N130" s="209"/>
      <c r="O130" s="239"/>
      <c r="P130" s="209"/>
      <c r="Q130" s="210"/>
      <c r="R130" s="210"/>
      <c r="S130" s="211"/>
      <c r="T130" s="212"/>
      <c r="U130" s="211"/>
      <c r="V130" s="211"/>
      <c r="W130" s="212"/>
      <c r="X130" s="213"/>
      <c r="Y130" s="214"/>
      <c r="Z130" s="213"/>
      <c r="AA130" s="45"/>
      <c r="AB130" s="45"/>
      <c r="AC130" s="207"/>
      <c r="AD130" s="207"/>
      <c r="AE130" s="207"/>
      <c r="AF130" s="17"/>
      <c r="AG130" s="17"/>
      <c r="AH130" s="215"/>
      <c r="AI130" s="216"/>
      <c r="AJ130" s="217"/>
      <c r="AK130" s="210"/>
      <c r="AL130" s="210"/>
      <c r="AM130" s="210"/>
      <c r="AN130" s="218"/>
      <c r="AO130" s="210"/>
      <c r="AP130" s="219"/>
      <c r="AQ130" s="220"/>
      <c r="AR130" s="219"/>
      <c r="AS130" s="221"/>
      <c r="AT130" s="221"/>
      <c r="AU130" s="222"/>
      <c r="AV130" s="222"/>
      <c r="AW130" s="223"/>
      <c r="AX130" s="223"/>
      <c r="AY130" s="206"/>
      <c r="AZ130" s="224"/>
      <c r="BA130" s="219"/>
      <c r="BB130" s="219"/>
      <c r="BC130" s="219"/>
      <c r="BD130" s="219"/>
      <c r="BE130" s="219"/>
      <c r="BF130" s="219"/>
      <c r="BG130" s="219"/>
      <c r="BH130" s="219"/>
      <c r="BI130" s="219"/>
      <c r="BJ130" s="225"/>
      <c r="BK130" s="226"/>
      <c r="BL130" s="249"/>
      <c r="BM130" s="249"/>
      <c r="BN130" s="31"/>
      <c r="BO130" s="250" t="s">
        <v>403</v>
      </c>
      <c r="BP130" s="251">
        <f>VLOOKUP(BP112,B:AO,29,0)</f>
        <v>0</v>
      </c>
      <c r="BQ130" s="32"/>
      <c r="BR130" s="32"/>
      <c r="BS130" s="32"/>
      <c r="BT130" s="32"/>
    </row>
    <row r="131">
      <c r="A131" s="203"/>
      <c r="B131" s="204"/>
      <c r="C131" s="205"/>
      <c r="D131" s="205"/>
      <c r="E131" s="205"/>
      <c r="F131" s="206"/>
      <c r="G131" s="206"/>
      <c r="H131" s="39"/>
      <c r="I131" s="207"/>
      <c r="J131" s="208"/>
      <c r="K131" s="208"/>
      <c r="L131" s="207"/>
      <c r="M131" s="207"/>
      <c r="N131" s="209"/>
      <c r="O131" s="239"/>
      <c r="P131" s="209"/>
      <c r="Q131" s="210"/>
      <c r="R131" s="210"/>
      <c r="S131" s="211"/>
      <c r="T131" s="212"/>
      <c r="U131" s="211"/>
      <c r="V131" s="211"/>
      <c r="W131" s="212"/>
      <c r="X131" s="213"/>
      <c r="Y131" s="214"/>
      <c r="Z131" s="213"/>
      <c r="AA131" s="45"/>
      <c r="AB131" s="45"/>
      <c r="AC131" s="207"/>
      <c r="AD131" s="207"/>
      <c r="AE131" s="207"/>
      <c r="AF131" s="17"/>
      <c r="AG131" s="17"/>
      <c r="AH131" s="215"/>
      <c r="AI131" s="216"/>
      <c r="AJ131" s="217"/>
      <c r="AK131" s="210"/>
      <c r="AL131" s="210"/>
      <c r="AM131" s="210"/>
      <c r="AN131" s="218"/>
      <c r="AO131" s="210"/>
      <c r="AP131" s="219"/>
      <c r="AQ131" s="220"/>
      <c r="AR131" s="219"/>
      <c r="AS131" s="221"/>
      <c r="AT131" s="221"/>
      <c r="AU131" s="222"/>
      <c r="AV131" s="222"/>
      <c r="AW131" s="223"/>
      <c r="AX131" s="223"/>
      <c r="AY131" s="206"/>
      <c r="AZ131" s="224"/>
      <c r="BA131" s="219"/>
      <c r="BB131" s="219"/>
      <c r="BC131" s="219"/>
      <c r="BD131" s="219"/>
      <c r="BE131" s="219"/>
      <c r="BF131" s="219"/>
      <c r="BG131" s="219"/>
      <c r="BH131" s="219"/>
      <c r="BI131" s="219"/>
      <c r="BJ131" s="225"/>
      <c r="BK131" s="225"/>
      <c r="BL131" s="234"/>
      <c r="BM131" s="234"/>
      <c r="BN131" s="31"/>
      <c r="BO131" s="32"/>
      <c r="BP131" s="32"/>
      <c r="BQ131" s="32"/>
      <c r="BR131" s="32"/>
      <c r="BS131" s="32"/>
      <c r="BT131" s="32"/>
    </row>
    <row r="132">
      <c r="A132" s="203"/>
      <c r="B132" s="204"/>
      <c r="C132" s="205"/>
      <c r="D132" s="205"/>
      <c r="E132" s="205"/>
      <c r="F132" s="206"/>
      <c r="G132" s="206"/>
      <c r="H132" s="39"/>
      <c r="I132" s="207"/>
      <c r="J132" s="208"/>
      <c r="K132" s="208"/>
      <c r="L132" s="207"/>
      <c r="M132" s="207"/>
      <c r="N132" s="209"/>
      <c r="O132" s="239"/>
      <c r="P132" s="209"/>
      <c r="Q132" s="210"/>
      <c r="R132" s="210"/>
      <c r="S132" s="211"/>
      <c r="T132" s="212"/>
      <c r="U132" s="32"/>
      <c r="V132" s="211"/>
      <c r="W132" s="212"/>
      <c r="X132" s="213"/>
      <c r="Y132" s="214"/>
      <c r="Z132" s="213"/>
      <c r="AA132" s="45"/>
      <c r="AB132" s="45"/>
      <c r="AC132" s="207"/>
      <c r="AD132" s="207"/>
      <c r="AE132" s="207"/>
      <c r="AF132" s="17"/>
      <c r="AG132" s="17"/>
      <c r="AH132" s="215"/>
      <c r="AI132" s="216"/>
      <c r="AJ132" s="217"/>
      <c r="AK132" s="210"/>
      <c r="AL132" s="210"/>
      <c r="AM132" s="210"/>
      <c r="AN132" s="218"/>
      <c r="AO132" s="210"/>
      <c r="AP132" s="219"/>
      <c r="AQ132" s="220"/>
      <c r="AR132" s="219"/>
      <c r="AS132" s="221"/>
      <c r="AT132" s="221"/>
      <c r="AU132" s="222"/>
      <c r="AV132" s="222"/>
      <c r="AW132" s="223"/>
      <c r="AX132" s="223"/>
      <c r="AY132" s="206"/>
      <c r="AZ132" s="224"/>
      <c r="BA132" s="219"/>
      <c r="BB132" s="219"/>
      <c r="BC132" s="219"/>
      <c r="BD132" s="219"/>
      <c r="BE132" s="219"/>
      <c r="BF132" s="219"/>
      <c r="BG132" s="219"/>
      <c r="BH132" s="219"/>
      <c r="BI132" s="219"/>
      <c r="BJ132" s="225"/>
      <c r="BK132" s="225"/>
      <c r="BL132" s="234"/>
      <c r="BM132" s="234"/>
      <c r="BN132" s="31"/>
      <c r="BO132" s="32"/>
      <c r="BP132" s="32"/>
      <c r="BQ132" s="32"/>
      <c r="BR132" s="32"/>
      <c r="BS132" s="32"/>
      <c r="BT132" s="32"/>
    </row>
  </sheetData>
  <autoFilter ref="$B$1:$BR$128"/>
  <customSheetViews>
    <customSheetView guid="{16A77DD8-B4AF-4DC1-BADA-9F450A5CC0A7}" filter="1" showAutoFilter="1">
      <autoFilter ref="$B$4:$AZ$109"/>
    </customSheetView>
    <customSheetView guid="{83D32205-562F-4991-95AA-5511EE3C8ED8}" filter="1" showAutoFilter="1">
      <autoFilter ref="$B$4:$BK$109"/>
    </customSheetView>
    <customSheetView guid="{08130FF8-AD9F-4EB3-9789-0769F9EBFE4B}" filter="1" showAutoFilter="1">
      <autoFilter ref="$B$4:$BN$109">
        <filterColumn colId="8">
          <filters>
            <filter val="GilVANDO RIOS DA CRUZ - NTS025538"/>
            <filter val="ETEMILSON OLIVEIRA SANTOS - NTS149530"/>
            <filter val="#N/A"/>
          </filters>
        </filterColumn>
        <filterColumn colId="5">
          <filters blank="1">
            <filter val="ENERGIZADA"/>
            <filter val="EM EXECUÇÃO"/>
            <filter val="PROGRAMADA"/>
          </filters>
        </filterColumn>
      </autoFilter>
    </customSheetView>
    <customSheetView guid="{941F1DC7-A4D1-4A47-B07C-9F9980B91937}" filter="1" showAutoFilter="1">
      <autoFilter ref="$A$4:$BR$109"/>
    </customSheetView>
    <customSheetView guid="{88BF03F9-A857-49DB-B6C2-C94AB5F03FD0}" filter="1" showAutoFilter="1">
      <autoFilter ref="$B$4:$BN$109">
        <filterColumn colId="12">
          <filters blank="1">
            <filter val="19/01/26"/>
            <filter val="03/02/26"/>
            <filter val="22/01/26"/>
            <filter val="23/01/26"/>
            <filter val="17/12/25"/>
            <filter val="29/01/26"/>
            <filter val="24/01/26"/>
            <filter val="04/02/26"/>
            <filter val="19/05/25"/>
            <filter val="06/02/26"/>
            <filter val="19/01/2026"/>
            <filter val="16/01/26"/>
            <filter val="20/01/26"/>
            <filter val="05/02/26"/>
            <filter val="17/01/26"/>
            <filter val="17/01/25"/>
            <filter val="7/2"/>
            <filter val="26/01/26"/>
          </filters>
        </filterColumn>
        <filterColumn colId="7">
          <filters>
            <filter val="CARLOS DA CRUZ SANTANA - MRA258541"/>
            <filter val="RODRIGO SANTOS SILVA - MRA096553"/>
          </filters>
        </filterColumn>
        <sortState ref="B4:BN109">
          <sortCondition ref="F4:F109"/>
        </sortState>
      </autoFilter>
    </customSheetView>
    <customSheetView guid="{ADF1A625-8591-4694-B499-25F55BE5D555}" filter="1" showAutoFilter="1">
      <autoFilter ref="$A$4:$BR$109">
        <filterColumn colId="9">
          <filters>
            <filter val="GilVANDO RIOS DA CRUZ - NTS025538"/>
            <filter val="GILVANDO RIOS DA CRUZ - NTS025538"/>
            <filter val="ETEMILSON OLIVEIRA SANTOS - NTS149530"/>
          </filters>
        </filterColumn>
        <filterColumn colId="6">
          <filters blank="1">
            <filter val="ENERGIZADA"/>
            <filter val="EM EXECUÇÃO"/>
            <filter val="PROGRAMADA"/>
          </filters>
        </filterColumn>
        <sortState ref="A4:BR109">
          <sortCondition ref="F4:F109"/>
        </sortState>
      </autoFilter>
    </customSheetView>
    <customSheetView guid="{8D149EEA-5E81-4E50-B209-18C149599FDB}" filter="1" showAutoFilter="1">
      <autoFilter ref="$B$4:$BK$109">
        <sortState ref="B4:BK109">
          <sortCondition ref="F4:F109"/>
        </sortState>
      </autoFilter>
    </customSheetView>
    <customSheetView guid="{B83BCCE7-8166-4018-A26F-41B63253B006}" filter="1" showAutoFilter="1">
      <autoFilter ref="$A$4:$BT$128">
        <filterColumn colId="4">
          <filters>
            <filter val="MP CIND POV MALVA RURAL"/>
            <filter val="AC-CIND-RUA-LAURO TEIXEIRA-PECUARIA"/>
            <filter val="ER-CIND-FAZ-MATA DO MEL-RURAL"/>
            <filter val="ER-CIND-POV-SALINAS-SALINAS"/>
          </filters>
        </filterColumn>
      </autoFilter>
    </customSheetView>
    <customSheetView guid="{49862277-0B5D-4FB2-9F6A-073F49D2976A}" filter="1" showAutoFilter="1">
      <autoFilter ref="$A$4:$BR$109">
        <filterColumn colId="6">
          <filters blank="1">
            <filter val="ENERGIZADA"/>
            <filter val="EM EXECUÇÃO"/>
            <filter val="PROGRAMADA"/>
          </filters>
        </filterColumn>
        <filterColumn colId="29">
          <filters>
            <filter val="1"/>
            <filter val="2"/>
          </filters>
        </filterColumn>
        <sortState ref="A4:BR109">
          <sortCondition ref="F4:F109"/>
        </sortState>
      </autoFilter>
    </customSheetView>
    <customSheetView guid="{73CF846F-0A11-46D3-B520-F54C6ABE4AD1}" filter="1" showAutoFilter="1">
      <autoFilter ref="$B$1:$BR$128">
        <filterColumn colId="5">
          <filters blank="1">
            <filter val="PROGRAMADA"/>
            <filter val="PARALISADA"/>
            <filter val="ENERGIZADA"/>
            <filter val="CONTROLE DE MATERIAS JACOBINA"/>
            <filter val="EM EXECUÇÃO"/>
            <filter val="CONTROLE DE MATERIAS IRECÊ"/>
            <filter val="DASH JACOBINA"/>
            <filter val="BASE DASH IRECÊ"/>
            <filter val="BASE DASH JACOBINA"/>
            <filter val="DASH IRECÊ"/>
          </filters>
        </filterColumn>
      </autoFilter>
    </customSheetView>
    <customSheetView guid="{F895B085-6CC2-4ABF-9753-E0466EFB8513}" filter="1" showAutoFilter="1">
      <autoFilter ref="$B$4:$AZ$109"/>
    </customSheetView>
    <customSheetView guid="{677A84DB-6ADA-47C5-AF03-82CD5A37879F}" filter="1" showAutoFilter="1">
      <autoFilter ref="$A$4:$BN$109">
        <filterColumn colId="6">
          <filters blank="1">
            <filter val="ENERGIZADA"/>
            <filter val="EM EXECUÇÃO"/>
            <filter val="PROGRAMADA"/>
          </filters>
        </filterColumn>
      </autoFilter>
    </customSheetView>
    <customSheetView guid="{981EEA94-EFD8-451F-A1FE-7FC08DA18AB1}" filter="1" showAutoFilter="1">
      <autoFilter ref="$B$4:$BN$109">
        <filterColumn colId="5">
          <filters blank="1">
            <filter val="ENERGIZADA"/>
            <filter val="EM EXECUÇÃO"/>
            <filter val="PROGRAMADA"/>
          </filters>
        </filterColumn>
      </autoFilter>
    </customSheetView>
    <customSheetView guid="{675F3DF2-44DD-497D-98CA-3C10FB386C95}" filter="1" showAutoFilter="1">
      <autoFilter ref="$A$4:$BT$128"/>
    </customSheetView>
    <customSheetView guid="{CF77F75F-8BE2-4D22-8039-81D2128A1098}" filter="1" showAutoFilter="1">
      <autoFilter ref="$A$4:$BR$109"/>
    </customSheetView>
    <customSheetView guid="{C39A4092-40AA-4ECF-975F-107A5E13615A}" filter="1" showAutoFilter="1">
      <autoFilter ref="$B$4:$BN$109">
        <filterColumn colId="4">
          <filters>
            <filter val="CALDEIRÃO GRANDE"/>
            <filter val="CAEM"/>
            <filter val="SAÚDE"/>
          </filters>
        </filterColumn>
      </autoFilter>
    </customSheetView>
    <customSheetView guid="{B100B79F-8789-4C01-9386-D3CEB6F39D64}" filter="1" showAutoFilter="1">
      <autoFilter ref="$A$4:$BT$132">
        <filterColumn colId="6">
          <filters blank="1">
            <filter val="PROGRAMADA"/>
            <filter val="ENERGIZADA"/>
            <filter val="CONTROLE DE MATERIAS JACOBINA"/>
            <filter val="EM EXECUÇÃO"/>
            <filter val="CONTROLE DE MATERIAS IRECÊ"/>
            <filter val="DASH JACOBINA"/>
            <filter val="BASE DASH IRECÊ"/>
            <filter val="BASE DASH JACOBINA"/>
            <filter val="DASH IRECÊ"/>
          </filters>
        </filterColumn>
        <filterColumn colId="31">
          <filters>
            <filter val="11"/>
            <filter val="99"/>
            <filter val="12"/>
            <filter val="25"/>
            <filter val="15"/>
            <filter val="16"/>
            <filter val="28"/>
            <filter val="18"/>
            <filter val="1"/>
            <filter val="2"/>
            <filter val="3"/>
            <filter val="4"/>
            <filter val="5"/>
            <filter val="6"/>
            <filter val="7"/>
            <filter val="8"/>
            <filter val="9"/>
            <filter val="10"/>
          </filters>
        </filterColumn>
      </autoFilter>
    </customSheetView>
    <customSheetView guid="{9D0B389F-B4FA-435D-866B-74BA04343AE2}" filter="1" showAutoFilter="1">
      <autoFilter ref="$B$4:$AZ$109">
        <filterColumn colId="5">
          <filters blank="1">
            <filter val="ENERGIZADA"/>
            <filter val="EM EXECUÇÃO"/>
            <filter val="PROGRAMADA"/>
          </filters>
        </filterColumn>
      </autoFilter>
    </customSheetView>
    <customSheetView guid="{D5C2A8B5-33A9-4EC5-8782-47B18965D54F}" filter="1" showAutoFilter="1">
      <autoFilter ref="$B$4:$BN$109">
        <filterColumn colId="9">
          <filters>
            <filter val="MANOEL GUSTAVO OLIVEIRA DOS S CONCEICAO - U464710"/>
            <filter val="RICARDO SANTOS DE BRITO - U465100"/>
            <filter val="RAFAEL SANTOS DA CRUZ - U469504"/>
            <filter val="ERIC TEIXEIRA OLIVEIRA BARBOSA - U361045"/>
            <filter val="NATALICIO MENDES DA SILVA - U107662"/>
            <filter val="NAILTON SANTANA PEREIRA FILHO - U344575"/>
          </filters>
        </filterColumn>
      </autoFilter>
    </customSheetView>
  </customSheetViews>
  <conditionalFormatting sqref="C5:C11 D5:D26 C13:C109 D28:D109">
    <cfRule type="expression" dxfId="2" priority="1">
      <formula>COUNTIF(#REF!,C5)&gt;1</formula>
    </cfRule>
  </conditionalFormatting>
  <conditionalFormatting sqref="C5:C11 D5:D26 C13:C109 D28:D109">
    <cfRule type="expression" dxfId="2" priority="2">
      <formula>COUNTIF(#REF!,C5)&gt;1</formula>
    </cfRule>
  </conditionalFormatting>
  <conditionalFormatting sqref="C5:C11 D5:D26 C13:C109 D28:D109">
    <cfRule type="expression" dxfId="2" priority="3">
      <formula>COUNTIF(#REF!,C5)&gt;1</formula>
    </cfRule>
  </conditionalFormatting>
  <conditionalFormatting sqref="A1:A2 C1:C11 D1:D26 B2:B109 AC3:AH3 A4 C13:C109 D28:D109">
    <cfRule type="expression" dxfId="3" priority="4">
      <formula>COUNTIF(A:A,A1)&gt;1</formula>
    </cfRule>
  </conditionalFormatting>
  <conditionalFormatting sqref="BA1:BA132">
    <cfRule type="containsText" dxfId="4" priority="5" operator="containsText" text="09">
      <formula>NOT(ISERROR(SEARCH(("09"),(BA1))))</formula>
    </cfRule>
  </conditionalFormatting>
  <conditionalFormatting sqref="BG1:BH132">
    <cfRule type="cellIs" dxfId="5" priority="6" operator="greaterThan">
      <formula>1200</formula>
    </cfRule>
  </conditionalFormatting>
  <conditionalFormatting sqref="BG1:BH132">
    <cfRule type="cellIs" dxfId="5" priority="7" operator="greaterThan">
      <formula>1200</formula>
    </cfRule>
  </conditionalFormatting>
  <conditionalFormatting sqref="T1:T132 W45:W46 W56:W58 W60 W62 W68 W96 W99:W101">
    <cfRule type="colorScale" priority="8">
      <colorScale>
        <cfvo type="min"/>
        <cfvo type="max"/>
        <color rgb="FFEA9999"/>
        <color rgb="FFFFFFFF"/>
      </colorScale>
    </cfRule>
  </conditionalFormatting>
  <conditionalFormatting sqref="T1:T132 W45 W56:W58 W60 W62 W68 W96">
    <cfRule type="colorScale" priority="9">
      <colorScale>
        <cfvo type="min"/>
        <cfvo type="max"/>
        <color rgb="FFEA9999"/>
        <color rgb="FFFFFFFF"/>
      </colorScale>
    </cfRule>
  </conditionalFormatting>
  <conditionalFormatting sqref="T1:T132 W45 W56:W58 W60 W62 W68 W96">
    <cfRule type="colorScale" priority="10">
      <colorScale>
        <cfvo type="min"/>
        <cfvo type="max"/>
        <color rgb="FFEA9999"/>
        <color rgb="FFFFFFFF"/>
      </colorScale>
    </cfRule>
  </conditionalFormatting>
  <conditionalFormatting sqref="T1:T132 W45 W56:W58 W60 W62 W68 W96">
    <cfRule type="colorScale" priority="11">
      <colorScale>
        <cfvo type="min"/>
        <cfvo type="max"/>
        <color rgb="FFEA9999"/>
        <color rgb="FFFFFFFF"/>
      </colorScale>
    </cfRule>
  </conditionalFormatting>
  <conditionalFormatting sqref="T1:T132 W45 W56:W58 W60 W62 W68 W96">
    <cfRule type="colorScale" priority="12">
      <colorScale>
        <cfvo type="min"/>
        <cfvo type="max"/>
        <color rgb="FFEA9999"/>
        <color rgb="FFFFFFFF"/>
      </colorScale>
    </cfRule>
  </conditionalFormatting>
  <conditionalFormatting sqref="T1:T132 W45 W56:W58 W60 W62 W68 W96">
    <cfRule type="colorScale" priority="13">
      <colorScale>
        <cfvo type="min"/>
        <cfvo type="max"/>
        <color rgb="FFEA9999"/>
        <color rgb="FFFFFFFF"/>
      </colorScale>
    </cfRule>
  </conditionalFormatting>
  <conditionalFormatting sqref="T1:T132 W45 W56:W58 W60 W62 W68 W96">
    <cfRule type="colorScale" priority="14">
      <colorScale>
        <cfvo type="min"/>
        <cfvo type="max"/>
        <color rgb="FFEA9999"/>
        <color rgb="FFFFFFFF"/>
      </colorScale>
    </cfRule>
  </conditionalFormatting>
  <conditionalFormatting sqref="T1:T132 W45 W56:W58 W60 W62 W68 W96">
    <cfRule type="colorScale" priority="15">
      <colorScale>
        <cfvo type="min"/>
        <cfvo type="max"/>
        <color rgb="FFEA9999"/>
        <color rgb="FFFFFFFF"/>
      </colorScale>
    </cfRule>
  </conditionalFormatting>
  <conditionalFormatting sqref="T1:T132 W45 W56:W58 W60 W62 W68 W96">
    <cfRule type="colorScale" priority="16">
      <colorScale>
        <cfvo type="min"/>
        <cfvo type="max"/>
        <color rgb="FFEA9999"/>
        <color rgb="FFFFFFFF"/>
      </colorScale>
    </cfRule>
  </conditionalFormatting>
  <conditionalFormatting sqref="W1:W132">
    <cfRule type="colorScale" priority="17">
      <colorScale>
        <cfvo type="min"/>
        <cfvo type="max"/>
        <color rgb="FFEA9999"/>
        <color rgb="FFFFFFFF"/>
      </colorScale>
    </cfRule>
  </conditionalFormatting>
  <conditionalFormatting sqref="AA1:AA40 AA43:AA54 AA56:AA132 X99:X101">
    <cfRule type="containsText" dxfId="6" priority="18" operator="containsText" text="CRIAR">
      <formula>NOT(ISERROR(SEARCH(("CRIAR"),(AA1))))</formula>
    </cfRule>
  </conditionalFormatting>
  <conditionalFormatting sqref="S1:S132 U1:V132 T40 X40 T46:T47 BJ55 X60 X62 T66:T67 X68:X96 T71:T73 T77:T78 T80 T84 T89:T90 T94:T95 T97 W97">
    <cfRule type="containsText" dxfId="6" priority="19" operator="containsText" text="CRIAR">
      <formula>NOT(ISERROR(SEARCH(("CRIAR"),(S1))))</formula>
    </cfRule>
  </conditionalFormatting>
  <conditionalFormatting sqref="X1:X132">
    <cfRule type="containsText" dxfId="6" priority="20" operator="containsText" text="CRIAR">
      <formula>NOT(ISERROR(SEARCH(("CRIAR"),(X1))))</formula>
    </cfRule>
  </conditionalFormatting>
  <dataValidations>
    <dataValidation type="list" allowBlank="1" showErrorMessage="1" sqref="K5:K109">
      <formula1>"ANTONIO ALBERTO GALINDO DE MELO - U470154,DAIANE ALMEIDA DO NASCIMENTO - U345247,DANILO COSTA SILVA - U464917,MANOEL GUSTAVO OLIVEIRA DOS S CONCEICAO - U464710,NAILTON SANTANA PEREIRA FILHO - U344575,NATALICIO MENDES DA SILVA - U107662,RAFAEL SANTOS DA CR"&amp;"UZ - U469504,RICARDO SANTOS DE BRITO - U465100,WELLINGTON RIBEIRO SOUZA - U470124,DIORLAN REIS - U352259 ,ERIC TEIXEIRA OLIVEIRA BARBOSA - U361045,ANDERSON ROBERTO DA SILVA CASTRO - U471407"</formula1>
    </dataValidation>
    <dataValidation type="list" allowBlank="1" showErrorMessage="1" sqref="I5:I109">
      <formula1>"DOUGLAS DA SILVA MELO - MRA666519,EMERSON DE CARVALHO SILVA - MRA152590,JULIO SERAFIM DAMACENO DOS SANTOS - MRA738523,FABIANO LOPES DE MORAES - MRA554506,JAILTON DA SILVA - MRA811574,GERALDO DA COSTA GOMES - MRA571535,LUCIANO NUNES DA SILVA - MRA252517,RO"&amp;"DRIGO SANTOS SILVA - MRA096553,CARLOS DA CRUZ SANTANA - MRA258541,CLEBSON REIS NETO - MRA148601,DIOGO CRUZ DOS SANTOS - MRA177595,JAIR DE JESUS - NTS219592,FRANCISCO GOES DE JESUS - NTS260555,CAIQUE SILVA LIMA - MRA219559"</formula1>
    </dataValidation>
    <dataValidation type="list" allowBlank="1" showErrorMessage="1" sqref="G5:G109">
      <formula1>"ENERGIZADA,CANCELADA,RETIRADA DA CARTEIRA,PARALISADA,EM EXECUÇÃO,PROGRAMADA"</formula1>
    </dataValidation>
    <dataValidation type="list" allowBlank="1" showErrorMessage="1" sqref="Z5:Z109">
      <formula1>"EMISSÃO,APROVADA,ANÁLISE,CANCELAR,SOLICITAR,CANCELADA,REFAZER,REPROVADO,CONCLUÍDA ,EM ATENDIMENTO,RETIRADA DA CARTEIRA,AGUARDANDO VISITA"</formula1>
    </dataValidation>
  </dataValidations>
  <hyperlinks>
    <hyperlink display="QUADRO ENERG." location="FEV.26!BO110" ref="F1"/>
    <hyperlink r:id="rId4" ref="F2"/>
    <hyperlink r:id="rId5" ref="AQ3"/>
    <hyperlink r:id="rId6" location="gid=2059889745" ref="X4"/>
    <hyperlink r:id="rId7" ref="P6"/>
    <hyperlink r:id="rId8" ref="S6"/>
    <hyperlink r:id="rId9" ref="V6"/>
    <hyperlink r:id="rId10" ref="AQ6"/>
    <hyperlink r:id="rId11" ref="P7"/>
    <hyperlink r:id="rId12" ref="S7"/>
    <hyperlink r:id="rId13" ref="V7"/>
    <hyperlink r:id="rId14" ref="AQ7"/>
    <hyperlink r:id="rId15" ref="P8"/>
    <hyperlink r:id="rId16" ref="S8"/>
    <hyperlink r:id="rId17" ref="V8"/>
    <hyperlink r:id="rId18" ref="X8"/>
    <hyperlink r:id="rId19" ref="AQ8"/>
    <hyperlink r:id="rId20" ref="P9"/>
    <hyperlink r:id="rId21" ref="S9"/>
    <hyperlink r:id="rId22" ref="U9"/>
    <hyperlink r:id="rId23" ref="V9"/>
    <hyperlink r:id="rId24" ref="AQ9"/>
    <hyperlink r:id="rId25" ref="P10"/>
    <hyperlink r:id="rId26" ref="S10"/>
    <hyperlink r:id="rId27" ref="V10"/>
    <hyperlink r:id="rId28" ref="AQ10"/>
    <hyperlink r:id="rId29" ref="P11"/>
    <hyperlink r:id="rId30" ref="S11"/>
    <hyperlink r:id="rId31" ref="V11"/>
    <hyperlink r:id="rId32" ref="AQ11"/>
    <hyperlink r:id="rId33" ref="P12"/>
    <hyperlink r:id="rId34" ref="S12"/>
    <hyperlink r:id="rId35" ref="V12"/>
    <hyperlink r:id="rId36" ref="AQ12"/>
    <hyperlink r:id="rId37" ref="P13"/>
    <hyperlink r:id="rId38" ref="S13"/>
    <hyperlink r:id="rId39" ref="V13"/>
    <hyperlink r:id="rId40" ref="AQ13"/>
    <hyperlink r:id="rId41" ref="P14"/>
    <hyperlink r:id="rId42" ref="S14"/>
    <hyperlink r:id="rId43" ref="AQ14"/>
    <hyperlink r:id="rId44" ref="P15"/>
    <hyperlink r:id="rId45" ref="S15"/>
    <hyperlink r:id="rId46" ref="V15"/>
    <hyperlink r:id="rId47" ref="AQ15"/>
    <hyperlink r:id="rId48" ref="P16"/>
    <hyperlink r:id="rId49" ref="V16"/>
    <hyperlink r:id="rId50" ref="AQ16"/>
    <hyperlink r:id="rId51" ref="P17"/>
    <hyperlink r:id="rId52" ref="X17"/>
    <hyperlink r:id="rId53" ref="AQ17"/>
    <hyperlink r:id="rId54" ref="P18"/>
    <hyperlink r:id="rId55" ref="V18"/>
    <hyperlink r:id="rId56" ref="AQ18"/>
    <hyperlink r:id="rId57" ref="P19"/>
    <hyperlink r:id="rId58" ref="V19"/>
    <hyperlink r:id="rId59" ref="AQ19"/>
    <hyperlink r:id="rId60" ref="P20"/>
    <hyperlink r:id="rId61" ref="V20"/>
    <hyperlink r:id="rId62" ref="AQ20"/>
    <hyperlink r:id="rId63" ref="P21"/>
    <hyperlink r:id="rId64" ref="V21"/>
    <hyperlink r:id="rId65" ref="AQ21"/>
    <hyperlink r:id="rId66" ref="P22"/>
    <hyperlink r:id="rId67" ref="X22"/>
    <hyperlink r:id="rId68" ref="AQ22"/>
    <hyperlink r:id="rId69" ref="P23"/>
    <hyperlink r:id="rId70" ref="X23"/>
    <hyperlink r:id="rId71" ref="AQ23"/>
    <hyperlink r:id="rId72" ref="P24"/>
    <hyperlink r:id="rId73" ref="S24"/>
    <hyperlink r:id="rId74" ref="V24"/>
    <hyperlink r:id="rId75" ref="AQ24"/>
    <hyperlink r:id="rId76" ref="AQ25"/>
    <hyperlink r:id="rId77" ref="P26"/>
    <hyperlink r:id="rId78" ref="S26"/>
    <hyperlink r:id="rId79" ref="V26"/>
    <hyperlink r:id="rId80" ref="AQ26"/>
    <hyperlink r:id="rId81" ref="V27"/>
    <hyperlink r:id="rId82" ref="AQ27"/>
    <hyperlink r:id="rId83" ref="P28"/>
    <hyperlink r:id="rId84" ref="S28"/>
    <hyperlink r:id="rId85" ref="V28"/>
    <hyperlink r:id="rId86" ref="AQ28"/>
    <hyperlink r:id="rId87" ref="P29"/>
    <hyperlink r:id="rId88" ref="S29"/>
    <hyperlink r:id="rId89" ref="V29"/>
    <hyperlink r:id="rId90" ref="AQ29"/>
    <hyperlink r:id="rId91" ref="P30"/>
    <hyperlink r:id="rId92" ref="V30"/>
    <hyperlink r:id="rId93" ref="AQ30"/>
    <hyperlink r:id="rId94" ref="P31"/>
    <hyperlink r:id="rId95" ref="S31"/>
    <hyperlink r:id="rId96" ref="V31"/>
    <hyperlink r:id="rId97" ref="AQ31"/>
    <hyperlink r:id="rId98" ref="P32"/>
    <hyperlink r:id="rId99" ref="V32"/>
    <hyperlink r:id="rId100" ref="AQ32"/>
    <hyperlink r:id="rId101" ref="P33"/>
    <hyperlink r:id="rId102" ref="S33"/>
    <hyperlink r:id="rId103" ref="V33"/>
    <hyperlink r:id="rId104" ref="AQ33"/>
    <hyperlink r:id="rId105" ref="P34"/>
    <hyperlink r:id="rId106" ref="U34"/>
    <hyperlink r:id="rId107" ref="AQ34"/>
    <hyperlink r:id="rId108" ref="P35"/>
    <hyperlink r:id="rId109" ref="S35"/>
    <hyperlink r:id="rId110" ref="U35"/>
    <hyperlink r:id="rId111" ref="V35"/>
    <hyperlink r:id="rId112" ref="AQ35"/>
    <hyperlink r:id="rId113" ref="P36"/>
    <hyperlink r:id="rId114" ref="S36"/>
    <hyperlink r:id="rId115" ref="U36"/>
    <hyperlink r:id="rId116" ref="V36"/>
    <hyperlink r:id="rId117" ref="AQ36"/>
    <hyperlink r:id="rId118" ref="P37"/>
    <hyperlink r:id="rId119" ref="S37"/>
    <hyperlink r:id="rId120" ref="V37"/>
    <hyperlink r:id="rId121" ref="AQ37"/>
    <hyperlink r:id="rId122" ref="P38"/>
    <hyperlink r:id="rId123" ref="S38"/>
    <hyperlink r:id="rId124" ref="V38"/>
    <hyperlink r:id="rId125" ref="AQ38"/>
    <hyperlink r:id="rId126" ref="P39"/>
    <hyperlink r:id="rId127" ref="S39"/>
    <hyperlink r:id="rId128" ref="V39"/>
    <hyperlink r:id="rId129" ref="AQ39"/>
    <hyperlink r:id="rId130" ref="P40"/>
    <hyperlink r:id="rId131" ref="V40"/>
    <hyperlink r:id="rId132" ref="AQ40"/>
    <hyperlink r:id="rId133" ref="P41"/>
    <hyperlink r:id="rId134" ref="S41"/>
    <hyperlink r:id="rId135" ref="U41"/>
    <hyperlink r:id="rId136" ref="X41"/>
    <hyperlink r:id="rId137" ref="AQ41"/>
    <hyperlink r:id="rId138" ref="AQ42"/>
    <hyperlink r:id="rId139" ref="P43"/>
    <hyperlink r:id="rId140" ref="S43"/>
    <hyperlink r:id="rId141" ref="AQ43"/>
    <hyperlink r:id="rId142" ref="P44"/>
    <hyperlink r:id="rId143" ref="S44"/>
    <hyperlink r:id="rId144" ref="V44"/>
    <hyperlink r:id="rId145" ref="AQ44"/>
    <hyperlink r:id="rId146" ref="P45"/>
    <hyperlink r:id="rId147" ref="S45"/>
    <hyperlink r:id="rId148" ref="V45"/>
    <hyperlink r:id="rId149" ref="AQ45"/>
    <hyperlink r:id="rId150" ref="P46"/>
    <hyperlink r:id="rId151" ref="V46"/>
    <hyperlink r:id="rId152" ref="AQ46"/>
    <hyperlink r:id="rId153" ref="P47"/>
    <hyperlink r:id="rId154" ref="X47"/>
    <hyperlink r:id="rId155" ref="AQ47"/>
    <hyperlink r:id="rId156" ref="P48"/>
    <hyperlink r:id="rId157" ref="S48"/>
    <hyperlink r:id="rId158" ref="V48"/>
    <hyperlink r:id="rId159" ref="AQ48"/>
    <hyperlink r:id="rId160" ref="P49"/>
    <hyperlink r:id="rId161" ref="S49"/>
    <hyperlink r:id="rId162" ref="V49"/>
    <hyperlink r:id="rId163" ref="AQ49"/>
    <hyperlink r:id="rId164" ref="P50"/>
    <hyperlink r:id="rId165" ref="S50"/>
    <hyperlink r:id="rId166" ref="V50"/>
    <hyperlink r:id="rId167" ref="AQ50"/>
    <hyperlink r:id="rId168" ref="P51"/>
    <hyperlink r:id="rId169" ref="S51"/>
    <hyperlink r:id="rId170" ref="V51"/>
    <hyperlink r:id="rId171" ref="AQ51"/>
    <hyperlink r:id="rId172" ref="AQ52"/>
    <hyperlink r:id="rId173" ref="P53"/>
    <hyperlink r:id="rId174" ref="S53"/>
    <hyperlink r:id="rId175" ref="V53"/>
    <hyperlink r:id="rId176" ref="AQ53"/>
    <hyperlink r:id="rId177" ref="P54"/>
    <hyperlink r:id="rId178" ref="S54"/>
    <hyperlink r:id="rId179" ref="AQ54"/>
    <hyperlink r:id="rId180" ref="S55"/>
    <hyperlink r:id="rId181" ref="V55"/>
    <hyperlink r:id="rId182" ref="AQ55"/>
    <hyperlink r:id="rId183" ref="P56"/>
    <hyperlink r:id="rId184" ref="S56"/>
    <hyperlink r:id="rId185" ref="V56"/>
    <hyperlink r:id="rId186" ref="AQ56"/>
    <hyperlink r:id="rId187" ref="S57"/>
    <hyperlink r:id="rId188" ref="U57"/>
    <hyperlink r:id="rId189" ref="V57"/>
    <hyperlink r:id="rId190" ref="P58"/>
    <hyperlink r:id="rId191" ref="S58"/>
    <hyperlink r:id="rId192" ref="U58"/>
    <hyperlink r:id="rId193" ref="V58"/>
    <hyperlink r:id="rId194" ref="AQ58"/>
    <hyperlink r:id="rId195" ref="P60"/>
    <hyperlink r:id="rId196" ref="S60"/>
    <hyperlink r:id="rId197" ref="AQ60"/>
    <hyperlink r:id="rId198" ref="S61"/>
    <hyperlink r:id="rId199" ref="V61"/>
    <hyperlink r:id="rId200" ref="AQ61"/>
    <hyperlink r:id="rId201" ref="P62"/>
    <hyperlink r:id="rId202" ref="S62"/>
    <hyperlink r:id="rId203" ref="AQ62"/>
    <hyperlink r:id="rId204" ref="P63"/>
    <hyperlink r:id="rId205" ref="S63"/>
    <hyperlink r:id="rId206" ref="V63"/>
    <hyperlink r:id="rId207" ref="AQ63"/>
    <hyperlink r:id="rId208" ref="P64"/>
    <hyperlink r:id="rId209" ref="S64"/>
    <hyperlink r:id="rId210" ref="U64"/>
    <hyperlink r:id="rId211" ref="V64"/>
    <hyperlink r:id="rId212" ref="X64"/>
    <hyperlink r:id="rId213" ref="AQ64"/>
    <hyperlink r:id="rId214" ref="P65"/>
    <hyperlink r:id="rId215" ref="S65"/>
    <hyperlink r:id="rId216" ref="V65"/>
    <hyperlink r:id="rId217" ref="AQ65"/>
    <hyperlink r:id="rId218" ref="AR65"/>
    <hyperlink r:id="rId219" ref="P66"/>
    <hyperlink r:id="rId220" ref="V66"/>
    <hyperlink r:id="rId221" ref="AQ66"/>
    <hyperlink r:id="rId222" ref="P67"/>
    <hyperlink r:id="rId223" ref="V67"/>
    <hyperlink r:id="rId224" ref="AQ67"/>
    <hyperlink r:id="rId225" ref="P68"/>
    <hyperlink r:id="rId226" ref="S68"/>
    <hyperlink r:id="rId227" ref="AQ68"/>
    <hyperlink r:id="rId228" ref="P69"/>
    <hyperlink r:id="rId229" ref="S69"/>
    <hyperlink r:id="rId230" ref="AQ69"/>
    <hyperlink r:id="rId231" ref="P70"/>
    <hyperlink r:id="rId232" ref="S70"/>
    <hyperlink r:id="rId233" ref="AQ70"/>
    <hyperlink r:id="rId234" ref="P71"/>
    <hyperlink r:id="rId235" ref="V71"/>
    <hyperlink r:id="rId236" ref="AQ71"/>
    <hyperlink r:id="rId237" ref="P72"/>
    <hyperlink r:id="rId238" ref="AQ72"/>
    <hyperlink r:id="rId239" ref="P73"/>
    <hyperlink r:id="rId240" ref="S73"/>
    <hyperlink r:id="rId241" ref="X73"/>
    <hyperlink r:id="rId242" ref="P74"/>
    <hyperlink r:id="rId243" ref="S74"/>
    <hyperlink r:id="rId244" ref="AQ74"/>
    <hyperlink r:id="rId245" ref="S75"/>
    <hyperlink r:id="rId246" ref="AQ75"/>
    <hyperlink r:id="rId247" ref="S76"/>
    <hyperlink r:id="rId248" ref="AQ76"/>
    <hyperlink r:id="rId249" ref="P77"/>
    <hyperlink r:id="rId250" ref="V77"/>
    <hyperlink r:id="rId251" ref="AQ77"/>
    <hyperlink r:id="rId252" ref="V78"/>
    <hyperlink r:id="rId253" ref="AQ78"/>
    <hyperlink r:id="rId254" ref="P79"/>
    <hyperlink r:id="rId255" ref="S79"/>
    <hyperlink r:id="rId256" ref="AQ79"/>
    <hyperlink r:id="rId257" ref="P80"/>
    <hyperlink r:id="rId258" ref="V80"/>
    <hyperlink r:id="rId259" ref="AQ80"/>
    <hyperlink r:id="rId260" ref="P81"/>
    <hyperlink r:id="rId261" ref="S81"/>
    <hyperlink r:id="rId262" ref="V81"/>
    <hyperlink r:id="rId263" ref="AQ81"/>
    <hyperlink r:id="rId264" ref="P82"/>
    <hyperlink r:id="rId265" ref="S82"/>
    <hyperlink r:id="rId266" ref="X82"/>
    <hyperlink r:id="rId267" ref="AQ82"/>
    <hyperlink r:id="rId268" ref="P83"/>
    <hyperlink r:id="rId269" ref="S83"/>
    <hyperlink r:id="rId270" ref="AQ83"/>
    <hyperlink r:id="rId271" ref="V84"/>
    <hyperlink r:id="rId272" ref="AQ84"/>
    <hyperlink r:id="rId273" ref="P85"/>
    <hyperlink r:id="rId274" ref="S85"/>
    <hyperlink r:id="rId275" ref="AQ85"/>
    <hyperlink r:id="rId276" ref="P86"/>
    <hyperlink r:id="rId277" ref="V86"/>
    <hyperlink r:id="rId278" ref="AQ86"/>
    <hyperlink r:id="rId279" ref="P87"/>
    <hyperlink r:id="rId280" ref="S87"/>
    <hyperlink r:id="rId281" ref="AQ87"/>
    <hyperlink r:id="rId282" ref="S88"/>
    <hyperlink r:id="rId283" ref="AQ88"/>
    <hyperlink r:id="rId284" ref="P89"/>
    <hyperlink r:id="rId285" ref="V89"/>
    <hyperlink r:id="rId286" ref="AQ89"/>
    <hyperlink r:id="rId287" ref="P90"/>
    <hyperlink r:id="rId288" ref="V90"/>
    <hyperlink r:id="rId289" ref="AQ90"/>
    <hyperlink r:id="rId290" ref="P91"/>
    <hyperlink r:id="rId291" ref="S91"/>
    <hyperlink r:id="rId292" ref="V91"/>
    <hyperlink r:id="rId293" ref="AQ91"/>
    <hyperlink r:id="rId294" ref="P92"/>
    <hyperlink r:id="rId295" ref="S92"/>
    <hyperlink r:id="rId296" ref="AQ92"/>
    <hyperlink r:id="rId297" ref="S93"/>
    <hyperlink r:id="rId298" ref="AQ93"/>
    <hyperlink r:id="rId299" ref="P94"/>
    <hyperlink r:id="rId300" ref="V94"/>
    <hyperlink r:id="rId301" ref="AQ94"/>
    <hyperlink r:id="rId302" ref="P95"/>
    <hyperlink r:id="rId303" ref="X95"/>
    <hyperlink r:id="rId304" ref="AQ95"/>
    <hyperlink r:id="rId305" ref="P96"/>
    <hyperlink r:id="rId306" ref="S96"/>
    <hyperlink r:id="rId307" ref="AQ96"/>
    <hyperlink r:id="rId308" ref="P97"/>
    <hyperlink r:id="rId309" ref="X97"/>
    <hyperlink r:id="rId310" ref="P98"/>
    <hyperlink r:id="rId311" ref="S98"/>
    <hyperlink r:id="rId312" ref="V98"/>
    <hyperlink r:id="rId313" ref="AQ98"/>
    <hyperlink r:id="rId314" ref="S99"/>
    <hyperlink r:id="rId315" ref="V99"/>
    <hyperlink r:id="rId316" ref="AQ99"/>
    <hyperlink r:id="rId317" ref="X100"/>
    <hyperlink r:id="rId318" ref="AQ100"/>
    <hyperlink r:id="rId319" ref="S101"/>
    <hyperlink r:id="rId320" ref="V101"/>
    <hyperlink r:id="rId321" ref="AQ101"/>
    <hyperlink r:id="rId322" ref="H114"/>
    <hyperlink r:id="rId323" location="gid=181266678&amp;fvid=1174299509" ref="H115"/>
    <hyperlink r:id="rId324" ref="H116"/>
    <hyperlink r:id="rId325" ref="H119"/>
    <hyperlink r:id="rId326" ref="H120"/>
    <hyperlink r:id="rId327" ref="H121"/>
  </hyperlinks>
  <printOptions horizontalCentered="1" verticalCentered="1"/>
  <pageMargins bottom="0.75" footer="0.0" header="0.0" left="0.25" right="0.25" top="0.75"/>
  <pageSetup paperSize="9" orientation="portrait"/>
  <drawing r:id="rId328"/>
  <legacyDrawing r:id="rId329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6.0" ySplit="4.0" topLeftCell="G5" activePane="bottomRight" state="frozen"/>
      <selection activeCell="G1" sqref="G1" pane="topRight"/>
      <selection activeCell="A5" sqref="A5" pane="bottomLeft"/>
      <selection activeCell="G5" sqref="G5" pane="bottomRight"/>
    </sheetView>
  </sheetViews>
  <sheetFormatPr customHeight="1" defaultColWidth="14.43" defaultRowHeight="15.0" outlineLevelCol="2"/>
  <cols>
    <col customWidth="1" hidden="1" min="1" max="1" width="15.71" outlineLevel="1"/>
    <col collapsed="1" customWidth="1" min="2" max="2" width="13.86"/>
    <col customWidth="1" hidden="1" min="3" max="4" width="15.29" outlineLevel="1"/>
    <col collapsed="1" customWidth="1" min="5" max="5" width="40.71"/>
    <col customWidth="1" min="6" max="6" width="16.29"/>
    <col customWidth="1" min="7" max="7" width="23.29"/>
    <col customWidth="1" min="8" max="8" width="44.43"/>
    <col customWidth="1" min="9" max="9" width="40.29"/>
    <col customWidth="1" min="10" max="10" width="32.57"/>
    <col customWidth="1" min="11" max="11" width="34.71"/>
    <col customWidth="1" min="12" max="12" width="26.29"/>
    <col customWidth="1" min="13" max="13" width="22.71"/>
    <col customWidth="1" min="14" max="14" width="14.0"/>
    <col customWidth="1" min="15" max="15" width="58.29"/>
    <col customWidth="1" min="16" max="16" width="14.43"/>
    <col customWidth="1" min="17" max="18" width="13.86"/>
    <col customWidth="1" min="19" max="19" width="14.86" outlineLevel="1"/>
    <col customWidth="1" min="20" max="20" width="14.86" outlineLevel="2"/>
    <col collapsed="1" customWidth="1" min="21" max="21" width="15.14" outlineLevel="1"/>
    <col customWidth="1" min="22" max="22" width="14.86" outlineLevel="1"/>
    <col customWidth="1" min="23" max="23" width="14.86" outlineLevel="2"/>
    <col collapsed="1" customWidth="1" min="24" max="24" width="15.57" outlineLevel="1"/>
    <col customWidth="1" min="25" max="25" width="14.86" outlineLevel="1"/>
    <col customWidth="1" min="26" max="26" width="17.29" outlineLevel="1"/>
    <col customWidth="1" min="27" max="27" width="7.71" outlineLevel="1"/>
    <col customWidth="1" min="28" max="28" width="16.14" outlineLevel="1"/>
    <col customWidth="1" min="29" max="29" width="13.71"/>
    <col customWidth="1" min="30" max="30" width="13.86"/>
    <col customWidth="1" min="31" max="31" width="14.71"/>
    <col customWidth="1" min="32" max="32" width="13.57"/>
    <col customWidth="1" min="33" max="33" width="12.71"/>
    <col customWidth="1" min="34" max="34" width="10.43"/>
    <col customWidth="1" min="35" max="36" width="5.57"/>
    <col customWidth="1" min="37" max="37" width="13.57"/>
    <col customWidth="1" min="38" max="38" width="13.0"/>
    <col customWidth="1" min="39" max="39" width="21.0"/>
    <col customWidth="1" min="40" max="40" width="16.57"/>
    <col customWidth="1" min="41" max="41" width="13.0"/>
    <col customWidth="1" min="42" max="42" width="15.29"/>
    <col customWidth="1" min="43" max="43" width="15.14"/>
    <col customWidth="1" min="44" max="44" width="19.14"/>
    <col customWidth="1" min="45" max="45" width="15.0"/>
    <col customWidth="1" min="46" max="46" width="14.71"/>
    <col customWidth="1" min="47" max="47" width="11.86"/>
    <col customWidth="1" min="48" max="48" width="14.14"/>
    <col customWidth="1" min="49" max="50" width="9.0"/>
    <col customWidth="1" min="51" max="51" width="12.86"/>
    <col customWidth="1" min="52" max="52" width="65.29"/>
    <col customWidth="1" min="53" max="53" width="16.14"/>
    <col customWidth="1" min="54" max="54" width="10.14"/>
    <col customWidth="1" hidden="1" min="55" max="55" width="14.0" outlineLevel="1"/>
    <col customWidth="1" hidden="1" min="56" max="56" width="11.14" outlineLevel="1"/>
    <col customWidth="1" hidden="1" min="57" max="60" width="8.43" outlineLevel="1"/>
    <col collapsed="1" customWidth="1" min="61" max="61" width="9.86"/>
    <col customWidth="1" min="62" max="62" width="55.14" outlineLevel="1"/>
    <col customWidth="1" min="63" max="63" width="18.29"/>
    <col customWidth="1" hidden="1" min="64" max="64" width="10.14" outlineLevel="1"/>
    <col customWidth="1" hidden="1" min="65" max="65" width="13.0" outlineLevel="1"/>
    <col customWidth="1" hidden="1" min="66" max="66" width="14.0" outlineLevel="1"/>
    <col collapsed="1" customWidth="1" min="67" max="67" width="27.43"/>
    <col customWidth="1" min="68" max="68" width="49.0"/>
    <col customWidth="1" min="69" max="69" width="39.71"/>
    <col customWidth="1" min="70" max="70" width="17.86"/>
    <col customWidth="1" min="71" max="72" width="36.0"/>
  </cols>
  <sheetData>
    <row r="1">
      <c r="A1" s="1" t="s">
        <v>404</v>
      </c>
      <c r="B1" s="2" t="s">
        <v>1540</v>
      </c>
      <c r="C1" s="3"/>
      <c r="D1" s="3"/>
      <c r="E1" s="4" t="s">
        <v>2</v>
      </c>
      <c r="F1" s="62"/>
      <c r="G1" s="6"/>
      <c r="H1" s="7"/>
      <c r="I1" s="8"/>
      <c r="J1" s="9"/>
      <c r="K1" s="10"/>
      <c r="L1" s="11" t="s">
        <v>4</v>
      </c>
      <c r="M1" s="11" t="s">
        <v>5</v>
      </c>
      <c r="N1" s="12"/>
      <c r="O1" s="13"/>
      <c r="P1" s="12"/>
      <c r="Q1" s="14" t="s">
        <v>6</v>
      </c>
      <c r="R1" s="12"/>
      <c r="S1" s="12"/>
      <c r="T1" s="15"/>
      <c r="U1" s="12"/>
      <c r="V1" s="16"/>
      <c r="W1" s="15"/>
      <c r="X1" s="17"/>
      <c r="Y1" s="12"/>
      <c r="Z1" s="17"/>
      <c r="AA1" s="18"/>
      <c r="AB1" s="18"/>
      <c r="AC1" s="19"/>
      <c r="AD1" s="14" t="s">
        <v>7</v>
      </c>
      <c r="AE1" s="20">
        <f>AE3/4</f>
        <v>181.5</v>
      </c>
      <c r="AF1" s="21" t="s">
        <v>8</v>
      </c>
      <c r="AG1" s="22">
        <f>AE3/12</f>
        <v>60.5</v>
      </c>
      <c r="AH1" s="18">
        <f>AE3*2480</f>
        <v>1800480</v>
      </c>
      <c r="AI1" s="8"/>
      <c r="AJ1" s="23"/>
      <c r="AK1" s="12"/>
      <c r="AL1" s="17"/>
      <c r="AM1" s="24"/>
      <c r="AN1" s="25"/>
      <c r="AO1" s="12"/>
      <c r="AP1" s="8"/>
      <c r="AQ1" s="17"/>
      <c r="AR1" s="8"/>
      <c r="AS1" s="26"/>
      <c r="AT1" s="27">
        <f>AT2/10</f>
        <v>209088</v>
      </c>
      <c r="AU1" s="8"/>
      <c r="AV1" s="8"/>
      <c r="AW1" s="8"/>
      <c r="AX1" s="8"/>
      <c r="AY1" s="8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28"/>
      <c r="BK1" s="29"/>
      <c r="BL1" s="30"/>
      <c r="BM1" s="30"/>
      <c r="BN1" s="31"/>
      <c r="BO1" s="32"/>
      <c r="BP1" s="32"/>
      <c r="BQ1" s="32"/>
      <c r="BR1" s="32"/>
      <c r="BS1" s="32"/>
      <c r="BT1" s="32"/>
    </row>
    <row r="2">
      <c r="A2" s="33" t="s">
        <v>9</v>
      </c>
      <c r="B2" s="34">
        <v>4.60008637E9</v>
      </c>
      <c r="C2" s="35"/>
      <c r="D2" s="36"/>
      <c r="E2" s="37">
        <f>E3/B3</f>
        <v>0.93</v>
      </c>
      <c r="F2" s="38" t="s">
        <v>10</v>
      </c>
      <c r="G2" s="6"/>
      <c r="H2" s="39"/>
      <c r="I2" s="40"/>
      <c r="J2" s="10"/>
      <c r="K2" s="10"/>
      <c r="L2" s="41" t="s">
        <v>11</v>
      </c>
      <c r="M2" s="11" t="s">
        <v>12</v>
      </c>
      <c r="N2" s="12"/>
      <c r="O2" s="9"/>
      <c r="P2" s="12"/>
      <c r="Q2" s="14" t="s">
        <v>13</v>
      </c>
      <c r="R2" s="12"/>
      <c r="S2" s="12"/>
      <c r="T2" s="15"/>
      <c r="U2" s="12"/>
      <c r="V2" s="12"/>
      <c r="W2" s="15"/>
      <c r="X2" s="8"/>
      <c r="Y2" s="17"/>
      <c r="Z2" s="17"/>
      <c r="AA2" s="18"/>
      <c r="AB2" s="18"/>
      <c r="AC2" s="32"/>
      <c r="AD2" s="14" t="s">
        <v>14</v>
      </c>
      <c r="AE2" s="20">
        <f>AE3/B3</f>
        <v>7.26</v>
      </c>
      <c r="AF2" s="42">
        <f>AF3/AE3</f>
        <v>0.9214876033</v>
      </c>
      <c r="AG2" s="42">
        <f>AG3/AE3</f>
        <v>0.9214876033</v>
      </c>
      <c r="AH2" s="42">
        <f>AH3/AE3</f>
        <v>0.07851239669</v>
      </c>
      <c r="AI2" s="8"/>
      <c r="AJ2" s="23"/>
      <c r="AK2" s="43"/>
      <c r="AL2" s="17"/>
      <c r="AM2" s="25"/>
      <c r="AN2" s="44"/>
      <c r="AO2" s="12"/>
      <c r="AP2" s="8"/>
      <c r="AQ2" s="45"/>
      <c r="AR2" s="8"/>
      <c r="AS2" s="26"/>
      <c r="AT2" s="46">
        <f>AE3*2880</f>
        <v>2090880</v>
      </c>
      <c r="AU2" s="47"/>
      <c r="AV2" s="47">
        <f t="shared" ref="AV2:AV3" si="3">AE2*2480</f>
        <v>18004.8</v>
      </c>
      <c r="AW2" s="32"/>
      <c r="AX2" s="32"/>
      <c r="AY2" s="8"/>
      <c r="AZ2" s="19"/>
      <c r="BA2" s="48"/>
      <c r="BB2" s="44"/>
      <c r="BC2" s="44"/>
      <c r="BD2" s="44"/>
      <c r="BE2" s="44"/>
      <c r="BF2" s="44"/>
      <c r="BG2" s="44"/>
      <c r="BH2" s="44"/>
      <c r="BI2" s="44"/>
      <c r="BJ2" s="48"/>
      <c r="BK2" s="49"/>
      <c r="BL2" s="50"/>
      <c r="BM2" s="50"/>
      <c r="BN2" s="31"/>
      <c r="BO2" s="32"/>
      <c r="BP2" s="32"/>
      <c r="BQ2" s="32"/>
      <c r="BR2" s="32"/>
      <c r="BS2" s="32"/>
      <c r="BT2" s="32"/>
    </row>
    <row r="3">
      <c r="A3" s="51" t="s">
        <v>15</v>
      </c>
      <c r="B3" s="52">
        <f>SUBTOTAL(3,B5:B113)</f>
        <v>100</v>
      </c>
      <c r="C3" s="53"/>
      <c r="D3" s="53"/>
      <c r="E3" s="17">
        <v>93.0</v>
      </c>
      <c r="F3" s="54"/>
      <c r="G3" s="54"/>
      <c r="H3" s="7"/>
      <c r="I3" s="40"/>
      <c r="J3" s="10"/>
      <c r="K3" s="10"/>
      <c r="L3" s="41" t="s">
        <v>16</v>
      </c>
      <c r="M3" s="11" t="s">
        <v>17</v>
      </c>
      <c r="N3" s="12"/>
      <c r="O3" s="9"/>
      <c r="P3" s="12"/>
      <c r="Q3" s="14" t="s">
        <v>18</v>
      </c>
      <c r="R3" s="12"/>
      <c r="S3" s="12"/>
      <c r="T3" s="15"/>
      <c r="U3" s="12"/>
      <c r="V3" s="12"/>
      <c r="W3" s="15"/>
      <c r="X3" s="8"/>
      <c r="Y3" s="12"/>
      <c r="Z3" s="8"/>
      <c r="AA3" s="18"/>
      <c r="AB3" s="55" t="s">
        <v>19</v>
      </c>
      <c r="AC3" s="52">
        <f t="shared" ref="AC3:AH3" si="1">SUBTOTAL(9,AC5:AC113)</f>
        <v>127</v>
      </c>
      <c r="AD3" s="52">
        <f t="shared" si="1"/>
        <v>16</v>
      </c>
      <c r="AE3" s="52">
        <f t="shared" si="1"/>
        <v>726</v>
      </c>
      <c r="AF3" s="52">
        <f t="shared" si="1"/>
        <v>669</v>
      </c>
      <c r="AG3" s="52">
        <f t="shared" si="1"/>
        <v>669</v>
      </c>
      <c r="AH3" s="52">
        <f t="shared" si="1"/>
        <v>57</v>
      </c>
      <c r="AI3" s="8"/>
      <c r="AJ3" s="23"/>
      <c r="AK3" s="12"/>
      <c r="AL3" s="12"/>
      <c r="AM3" s="25"/>
      <c r="AN3" s="25"/>
      <c r="AO3" s="12"/>
      <c r="AP3" s="8"/>
      <c r="AQ3" s="56" t="s">
        <v>20</v>
      </c>
      <c r="AR3" s="8"/>
      <c r="AS3" s="57">
        <f t="shared" ref="AS3:AT3" si="2">SUBTOTAL(9,AS5:AS113)</f>
        <v>6480556.5</v>
      </c>
      <c r="AT3" s="57">
        <f t="shared" si="2"/>
        <v>0</v>
      </c>
      <c r="AU3" s="58"/>
      <c r="AV3" s="59">
        <f t="shared" si="3"/>
        <v>1800480</v>
      </c>
      <c r="AW3" s="60">
        <f t="shared" ref="AW3:AX3" si="4">SUBTOTAL(9,AW5:AW113)</f>
        <v>10.82</v>
      </c>
      <c r="AX3" s="60">
        <f t="shared" si="4"/>
        <v>0.864</v>
      </c>
      <c r="AY3" s="19"/>
      <c r="AZ3" s="19"/>
      <c r="BA3" s="19"/>
      <c r="BB3" s="44"/>
      <c r="BC3" s="44"/>
      <c r="BD3" s="44"/>
      <c r="BE3" s="44"/>
      <c r="BF3" s="44"/>
      <c r="BG3" s="44"/>
      <c r="BH3" s="44"/>
      <c r="BI3" s="44"/>
      <c r="BJ3" s="48"/>
      <c r="BK3" s="29"/>
      <c r="BL3" s="30"/>
      <c r="BM3" s="30"/>
      <c r="BN3" s="31"/>
      <c r="BO3" s="32"/>
      <c r="BP3" s="32"/>
      <c r="BQ3" s="61"/>
      <c r="BR3" s="32"/>
      <c r="BS3" s="32"/>
      <c r="BT3" s="32"/>
    </row>
    <row r="4" ht="36.75" customHeight="1">
      <c r="A4" s="62" t="s">
        <v>21</v>
      </c>
      <c r="B4" s="62" t="s">
        <v>22</v>
      </c>
      <c r="C4" s="64" t="s">
        <v>23</v>
      </c>
      <c r="D4" s="64" t="s">
        <v>24</v>
      </c>
      <c r="E4" s="62" t="s">
        <v>25</v>
      </c>
      <c r="F4" s="62" t="s">
        <v>26</v>
      </c>
      <c r="G4" s="65" t="s">
        <v>27</v>
      </c>
      <c r="H4" s="62" t="s">
        <v>28</v>
      </c>
      <c r="I4" s="62" t="s">
        <v>29</v>
      </c>
      <c r="J4" s="66" t="s">
        <v>30</v>
      </c>
      <c r="K4" s="66" t="s">
        <v>31</v>
      </c>
      <c r="L4" s="62" t="s">
        <v>32</v>
      </c>
      <c r="M4" s="62" t="s">
        <v>33</v>
      </c>
      <c r="N4" s="67" t="s">
        <v>34</v>
      </c>
      <c r="O4" s="67" t="s">
        <v>35</v>
      </c>
      <c r="P4" s="68" t="s">
        <v>36</v>
      </c>
      <c r="Q4" s="68" t="s">
        <v>37</v>
      </c>
      <c r="R4" s="69" t="s">
        <v>38</v>
      </c>
      <c r="S4" s="70" t="s">
        <v>39</v>
      </c>
      <c r="T4" s="70" t="s">
        <v>40</v>
      </c>
      <c r="U4" s="70" t="s">
        <v>41</v>
      </c>
      <c r="V4" s="71" t="s">
        <v>42</v>
      </c>
      <c r="W4" s="72" t="s">
        <v>40</v>
      </c>
      <c r="X4" s="73" t="s">
        <v>1541</v>
      </c>
      <c r="Y4" s="74" t="s">
        <v>44</v>
      </c>
      <c r="Z4" s="70" t="s">
        <v>45</v>
      </c>
      <c r="AA4" s="70" t="s">
        <v>46</v>
      </c>
      <c r="AB4" s="70" t="s">
        <v>47</v>
      </c>
      <c r="AC4" s="62" t="s">
        <v>48</v>
      </c>
      <c r="AD4" s="75" t="s">
        <v>49</v>
      </c>
      <c r="AE4" s="76" t="s">
        <v>50</v>
      </c>
      <c r="AF4" s="62" t="s">
        <v>51</v>
      </c>
      <c r="AG4" s="76" t="s">
        <v>52</v>
      </c>
      <c r="AH4" s="76" t="s">
        <v>53</v>
      </c>
      <c r="AI4" s="62" t="s">
        <v>54</v>
      </c>
      <c r="AJ4" s="62" t="s">
        <v>55</v>
      </c>
      <c r="AK4" s="77" t="s">
        <v>56</v>
      </c>
      <c r="AL4" s="77" t="s">
        <v>57</v>
      </c>
      <c r="AM4" s="78" t="s">
        <v>58</v>
      </c>
      <c r="AN4" s="79" t="s">
        <v>59</v>
      </c>
      <c r="AO4" s="80" t="s">
        <v>60</v>
      </c>
      <c r="AP4" s="81" t="s">
        <v>61</v>
      </c>
      <c r="AQ4" s="81" t="s">
        <v>62</v>
      </c>
      <c r="AR4" s="81" t="s">
        <v>63</v>
      </c>
      <c r="AS4" s="82" t="s">
        <v>64</v>
      </c>
      <c r="AT4" s="82" t="s">
        <v>65</v>
      </c>
      <c r="AU4" s="75" t="s">
        <v>66</v>
      </c>
      <c r="AV4" s="62" t="s">
        <v>67</v>
      </c>
      <c r="AW4" s="62" t="s">
        <v>68</v>
      </c>
      <c r="AX4" s="62" t="s">
        <v>69</v>
      </c>
      <c r="AY4" s="62" t="s">
        <v>70</v>
      </c>
      <c r="AZ4" s="62" t="s">
        <v>71</v>
      </c>
      <c r="BA4" s="62" t="s">
        <v>72</v>
      </c>
      <c r="BB4" s="62" t="s">
        <v>73</v>
      </c>
      <c r="BC4" s="62" t="s">
        <v>74</v>
      </c>
      <c r="BD4" s="62" t="s">
        <v>75</v>
      </c>
      <c r="BE4" s="62" t="s">
        <v>76</v>
      </c>
      <c r="BF4" s="62" t="s">
        <v>77</v>
      </c>
      <c r="BG4" s="62" t="s">
        <v>78</v>
      </c>
      <c r="BH4" s="62" t="s">
        <v>79</v>
      </c>
      <c r="BI4" s="62" t="s">
        <v>80</v>
      </c>
      <c r="BJ4" s="83" t="s">
        <v>81</v>
      </c>
      <c r="BK4" s="84" t="s">
        <v>82</v>
      </c>
      <c r="BL4" s="85" t="s">
        <v>83</v>
      </c>
      <c r="BM4" s="85" t="s">
        <v>84</v>
      </c>
      <c r="BN4" s="85" t="s">
        <v>85</v>
      </c>
      <c r="BO4" s="86" t="s">
        <v>86</v>
      </c>
      <c r="BP4" s="86" t="s">
        <v>86</v>
      </c>
      <c r="BQ4" s="86" t="s">
        <v>86</v>
      </c>
      <c r="BR4" s="87" t="s">
        <v>87</v>
      </c>
      <c r="BS4" s="88"/>
      <c r="BT4" s="88"/>
    </row>
    <row r="5">
      <c r="A5" s="261">
        <v>9.102125176E9</v>
      </c>
      <c r="B5" s="262" t="s">
        <v>1542</v>
      </c>
      <c r="C5" s="142" t="s">
        <v>1543</v>
      </c>
      <c r="D5" s="142" t="s">
        <v>1544</v>
      </c>
      <c r="E5" s="265" t="s">
        <v>1545</v>
      </c>
      <c r="F5" s="420" t="s">
        <v>90</v>
      </c>
      <c r="G5" s="266" t="s">
        <v>495</v>
      </c>
      <c r="H5" s="302"/>
      <c r="I5" s="268" t="s">
        <v>417</v>
      </c>
      <c r="J5" s="269" t="str">
        <f>VLOOKUP(I5,DADOS!B:F,5,0)</f>
        <v>GILVANDO RIOS DA CRUZ - NTS025538</v>
      </c>
      <c r="K5" s="270" t="s">
        <v>131</v>
      </c>
      <c r="L5" s="262" t="s">
        <v>444</v>
      </c>
      <c r="M5" s="262" t="s">
        <v>559</v>
      </c>
      <c r="N5" s="421"/>
      <c r="O5" s="272"/>
      <c r="P5" s="349">
        <v>46006.0</v>
      </c>
      <c r="Q5" s="422">
        <v>46010.0</v>
      </c>
      <c r="R5" s="271">
        <v>46029.0</v>
      </c>
      <c r="S5" s="275" t="s">
        <v>93</v>
      </c>
      <c r="T5" s="275" t="s">
        <v>93</v>
      </c>
      <c r="U5" s="275" t="s">
        <v>93</v>
      </c>
      <c r="V5" s="255" t="s">
        <v>1546</v>
      </c>
      <c r="W5" s="333">
        <v>46054.0</v>
      </c>
      <c r="X5" s="275" t="s">
        <v>93</v>
      </c>
      <c r="Y5" s="276"/>
      <c r="Z5" s="277"/>
      <c r="AA5" s="278"/>
      <c r="AB5" s="304" t="s">
        <v>1547</v>
      </c>
      <c r="AC5" s="262">
        <v>1.0</v>
      </c>
      <c r="AD5" s="262">
        <v>0.0</v>
      </c>
      <c r="AE5" s="262">
        <v>2.0</v>
      </c>
      <c r="AF5" s="423">
        <v>2.0</v>
      </c>
      <c r="AG5" s="280">
        <v>2.0</v>
      </c>
      <c r="AH5" s="281">
        <f t="shared" ref="AH5:AH113" si="5">AE5-AG5</f>
        <v>0</v>
      </c>
      <c r="AI5" s="282">
        <f t="shared" ref="AI5:AI113" si="6">IF(OR(AE5=0, ISERR(AG5/AE5)), 0, AG5/AE5)</f>
        <v>1</v>
      </c>
      <c r="AJ5" s="283">
        <v>1.0</v>
      </c>
      <c r="AK5" s="271">
        <v>46031.0</v>
      </c>
      <c r="AL5" s="271">
        <v>46031.0</v>
      </c>
      <c r="AM5" s="284"/>
      <c r="AN5" s="285">
        <v>46030.0</v>
      </c>
      <c r="AO5" s="262" t="s">
        <v>1548</v>
      </c>
      <c r="AP5" s="286" t="s">
        <v>1549</v>
      </c>
      <c r="AQ5" s="118" t="s">
        <v>1550</v>
      </c>
      <c r="AR5" s="286" t="s">
        <v>1551</v>
      </c>
      <c r="AS5" s="287">
        <v>12560.48</v>
      </c>
      <c r="AT5" s="287"/>
      <c r="AU5" s="288">
        <f>VLOOKUP(I5,DADOS!B:C,2,0)</f>
        <v>2304</v>
      </c>
      <c r="AV5" s="289">
        <f t="shared" ref="AV5:AV113" si="7">AE5*2480</f>
        <v>4960</v>
      </c>
      <c r="AW5" s="290">
        <v>0.11</v>
      </c>
      <c r="AX5" s="290"/>
      <c r="AY5" s="265"/>
      <c r="AZ5" s="291"/>
      <c r="BA5" s="292" t="s">
        <v>1552</v>
      </c>
      <c r="BB5" s="293" t="s">
        <v>1553</v>
      </c>
      <c r="BC5" s="294"/>
      <c r="BD5" s="294"/>
      <c r="BE5" s="294"/>
      <c r="BF5" s="294"/>
      <c r="BG5" s="294">
        <f t="shared" ref="BG5:BG113" si="8">BD5*BF5</f>
        <v>0</v>
      </c>
      <c r="BH5" s="294"/>
      <c r="BI5" s="294" t="s">
        <v>1549</v>
      </c>
      <c r="BJ5" s="424" t="s">
        <v>1554</v>
      </c>
      <c r="BK5" s="425" t="s">
        <v>102</v>
      </c>
      <c r="BL5" s="297"/>
      <c r="BM5" s="297"/>
      <c r="BN5" s="298"/>
      <c r="BO5" s="299"/>
      <c r="BP5" s="300"/>
      <c r="BQ5" s="300"/>
      <c r="BR5" s="300" t="str">
        <f t="shared" ref="BR5:BR68" si="9">VLOOKUP(B5,'Página133'!C:C,1,0)</f>
        <v>#REF!</v>
      </c>
      <c r="BS5" s="300"/>
      <c r="BT5" s="300"/>
    </row>
    <row r="6">
      <c r="A6" s="261">
        <v>9.102142082E9</v>
      </c>
      <c r="B6" s="262" t="s">
        <v>1555</v>
      </c>
      <c r="C6" s="264" t="s">
        <v>1556</v>
      </c>
      <c r="D6" s="264" t="s">
        <v>1557</v>
      </c>
      <c r="E6" s="265" t="s">
        <v>1545</v>
      </c>
      <c r="F6" s="420" t="s">
        <v>90</v>
      </c>
      <c r="G6" s="266" t="s">
        <v>495</v>
      </c>
      <c r="H6" s="302"/>
      <c r="I6" s="268" t="s">
        <v>417</v>
      </c>
      <c r="J6" s="269" t="str">
        <f>VLOOKUP(I6,DADOS!B:F,5,0)</f>
        <v>GILVANDO RIOS DA CRUZ - NTS025538</v>
      </c>
      <c r="K6" s="270" t="s">
        <v>131</v>
      </c>
      <c r="L6" s="262" t="s">
        <v>1285</v>
      </c>
      <c r="M6" s="262" t="s">
        <v>559</v>
      </c>
      <c r="N6" s="271"/>
      <c r="O6" s="272"/>
      <c r="P6" s="349">
        <v>46006.0</v>
      </c>
      <c r="Q6" s="422">
        <v>46010.0</v>
      </c>
      <c r="R6" s="271">
        <v>46029.0</v>
      </c>
      <c r="S6" s="275" t="s">
        <v>93</v>
      </c>
      <c r="T6" s="275" t="s">
        <v>93</v>
      </c>
      <c r="U6" s="275" t="s">
        <v>93</v>
      </c>
      <c r="V6" s="255" t="s">
        <v>1558</v>
      </c>
      <c r="W6" s="333">
        <v>46054.0</v>
      </c>
      <c r="X6" s="275" t="s">
        <v>93</v>
      </c>
      <c r="Y6" s="276"/>
      <c r="Z6" s="277"/>
      <c r="AA6" s="278"/>
      <c r="AB6" s="304" t="s">
        <v>1559</v>
      </c>
      <c r="AC6" s="262">
        <v>1.0</v>
      </c>
      <c r="AD6" s="262">
        <v>0.0</v>
      </c>
      <c r="AE6" s="262">
        <v>3.0</v>
      </c>
      <c r="AF6" s="280">
        <v>3.0</v>
      </c>
      <c r="AG6" s="280">
        <v>3.0</v>
      </c>
      <c r="AH6" s="281">
        <f t="shared" si="5"/>
        <v>0</v>
      </c>
      <c r="AI6" s="282">
        <f t="shared" si="6"/>
        <v>1</v>
      </c>
      <c r="AJ6" s="283">
        <v>1.0</v>
      </c>
      <c r="AK6" s="271">
        <v>46035.0</v>
      </c>
      <c r="AL6" s="271">
        <v>46041.0</v>
      </c>
      <c r="AM6" s="284"/>
      <c r="AN6" s="285">
        <v>46036.0</v>
      </c>
      <c r="AO6" s="262" t="s">
        <v>1560</v>
      </c>
      <c r="AP6" s="286" t="s">
        <v>1561</v>
      </c>
      <c r="AQ6" s="118" t="s">
        <v>1562</v>
      </c>
      <c r="AR6" s="286" t="s">
        <v>1563</v>
      </c>
      <c r="AS6" s="287">
        <v>29586.04</v>
      </c>
      <c r="AT6" s="287"/>
      <c r="AU6" s="288">
        <f>VLOOKUP(I6,DADOS!B:C,2,0)</f>
        <v>2304</v>
      </c>
      <c r="AV6" s="289">
        <f t="shared" si="7"/>
        <v>7440</v>
      </c>
      <c r="AW6" s="290">
        <v>0.18</v>
      </c>
      <c r="AX6" s="290"/>
      <c r="AY6" s="265"/>
      <c r="AZ6" s="291"/>
      <c r="BA6" s="292" t="s">
        <v>1552</v>
      </c>
      <c r="BB6" s="293" t="s">
        <v>1553</v>
      </c>
      <c r="BC6" s="294"/>
      <c r="BD6" s="294"/>
      <c r="BE6" s="294"/>
      <c r="BF6" s="294"/>
      <c r="BG6" s="294">
        <f t="shared" si="8"/>
        <v>0</v>
      </c>
      <c r="BH6" s="294"/>
      <c r="BI6" s="294" t="s">
        <v>1561</v>
      </c>
      <c r="BJ6" s="424" t="s">
        <v>1564</v>
      </c>
      <c r="BK6" s="425" t="s">
        <v>102</v>
      </c>
      <c r="BL6" s="297"/>
      <c r="BM6" s="297"/>
      <c r="BN6" s="298"/>
      <c r="BO6" s="299"/>
      <c r="BP6" s="300"/>
      <c r="BQ6" s="300"/>
      <c r="BR6" s="300" t="str">
        <f t="shared" si="9"/>
        <v>#REF!</v>
      </c>
      <c r="BS6" s="300"/>
      <c r="BT6" s="300"/>
    </row>
    <row r="7">
      <c r="A7" s="261">
        <v>9.102355057E9</v>
      </c>
      <c r="B7" s="262" t="s">
        <v>1565</v>
      </c>
      <c r="C7" s="264" t="s">
        <v>93</v>
      </c>
      <c r="D7" s="264" t="s">
        <v>93</v>
      </c>
      <c r="E7" s="265" t="s">
        <v>1566</v>
      </c>
      <c r="F7" s="426" t="s">
        <v>90</v>
      </c>
      <c r="G7" s="266" t="s">
        <v>495</v>
      </c>
      <c r="H7" s="302"/>
      <c r="I7" s="268" t="s">
        <v>417</v>
      </c>
      <c r="J7" s="269" t="str">
        <f>VLOOKUP(I7,DADOS!B:F,5,0)</f>
        <v>GILVANDO RIOS DA CRUZ - NTS025538</v>
      </c>
      <c r="K7" s="270" t="s">
        <v>131</v>
      </c>
      <c r="L7" s="262" t="s">
        <v>444</v>
      </c>
      <c r="M7" s="262" t="s">
        <v>105</v>
      </c>
      <c r="N7" s="271"/>
      <c r="O7" s="272"/>
      <c r="P7" s="349">
        <v>46006.0</v>
      </c>
      <c r="Q7" s="422">
        <v>46010.0</v>
      </c>
      <c r="R7" s="271">
        <v>46029.0</v>
      </c>
      <c r="S7" s="275" t="s">
        <v>93</v>
      </c>
      <c r="T7" s="275" t="s">
        <v>93</v>
      </c>
      <c r="U7" s="275" t="s">
        <v>93</v>
      </c>
      <c r="V7" s="255" t="s">
        <v>1567</v>
      </c>
      <c r="W7" s="333">
        <v>46054.0</v>
      </c>
      <c r="X7" s="275" t="s">
        <v>93</v>
      </c>
      <c r="Y7" s="276"/>
      <c r="Z7" s="277"/>
      <c r="AA7" s="278"/>
      <c r="AB7" s="304" t="s">
        <v>1568</v>
      </c>
      <c r="AC7" s="262">
        <v>1.0</v>
      </c>
      <c r="AD7" s="262">
        <v>0.0</v>
      </c>
      <c r="AE7" s="262">
        <v>4.0</v>
      </c>
      <c r="AF7" s="280">
        <v>4.0</v>
      </c>
      <c r="AG7" s="280">
        <v>4.0</v>
      </c>
      <c r="AH7" s="281">
        <f t="shared" si="5"/>
        <v>0</v>
      </c>
      <c r="AI7" s="282">
        <f t="shared" si="6"/>
        <v>1</v>
      </c>
      <c r="AJ7" s="283">
        <v>1.0</v>
      </c>
      <c r="AK7" s="271">
        <v>46029.0</v>
      </c>
      <c r="AL7" s="271">
        <v>46041.0</v>
      </c>
      <c r="AM7" s="284"/>
      <c r="AN7" s="285">
        <v>46030.0</v>
      </c>
      <c r="AO7" s="262" t="s">
        <v>1569</v>
      </c>
      <c r="AP7" s="286" t="s">
        <v>1570</v>
      </c>
      <c r="AQ7" s="118" t="s">
        <v>1571</v>
      </c>
      <c r="AR7" s="286" t="s">
        <v>1572</v>
      </c>
      <c r="AS7" s="287">
        <v>27597.45</v>
      </c>
      <c r="AT7" s="287"/>
      <c r="AU7" s="288">
        <f>VLOOKUP(I7,DADOS!B:C,2,0)</f>
        <v>2304</v>
      </c>
      <c r="AV7" s="289">
        <f t="shared" si="7"/>
        <v>9920</v>
      </c>
      <c r="AW7" s="290">
        <v>0.24</v>
      </c>
      <c r="AX7" s="290"/>
      <c r="AY7" s="265"/>
      <c r="AZ7" s="291"/>
      <c r="BA7" s="292" t="s">
        <v>99</v>
      </c>
      <c r="BB7" s="293" t="s">
        <v>1573</v>
      </c>
      <c r="BC7" s="294"/>
      <c r="BD7" s="294"/>
      <c r="BE7" s="294"/>
      <c r="BF7" s="294"/>
      <c r="BG7" s="294">
        <f t="shared" si="8"/>
        <v>0</v>
      </c>
      <c r="BH7" s="294"/>
      <c r="BI7" s="294" t="s">
        <v>1570</v>
      </c>
      <c r="BJ7" s="424" t="s">
        <v>1574</v>
      </c>
      <c r="BK7" s="425" t="s">
        <v>102</v>
      </c>
      <c r="BL7" s="297"/>
      <c r="BM7" s="297"/>
      <c r="BN7" s="298"/>
      <c r="BO7" s="299"/>
      <c r="BP7" s="300"/>
      <c r="BQ7" s="300"/>
      <c r="BR7" s="300" t="str">
        <f t="shared" si="9"/>
        <v>#REF!</v>
      </c>
      <c r="BS7" s="300"/>
      <c r="BT7" s="300"/>
    </row>
    <row r="8">
      <c r="A8" s="261">
        <v>9.10235708E9</v>
      </c>
      <c r="B8" s="262" t="s">
        <v>1575</v>
      </c>
      <c r="C8" s="264" t="s">
        <v>93</v>
      </c>
      <c r="D8" s="264" t="s">
        <v>93</v>
      </c>
      <c r="E8" s="265" t="s">
        <v>1576</v>
      </c>
      <c r="F8" s="426" t="s">
        <v>90</v>
      </c>
      <c r="G8" s="266" t="s">
        <v>495</v>
      </c>
      <c r="H8" s="302"/>
      <c r="I8" s="268" t="s">
        <v>417</v>
      </c>
      <c r="J8" s="269" t="str">
        <f>VLOOKUP(I8,DADOS!B:F,5,0)</f>
        <v>GILVANDO RIOS DA CRUZ - NTS025538</v>
      </c>
      <c r="K8" s="270" t="s">
        <v>131</v>
      </c>
      <c r="L8" s="262" t="s">
        <v>444</v>
      </c>
      <c r="M8" s="262" t="s">
        <v>105</v>
      </c>
      <c r="N8" s="271"/>
      <c r="O8" s="272"/>
      <c r="P8" s="349">
        <v>46007.0</v>
      </c>
      <c r="Q8" s="422">
        <v>46010.0</v>
      </c>
      <c r="R8" s="271">
        <v>46029.0</v>
      </c>
      <c r="S8" s="275" t="s">
        <v>1577</v>
      </c>
      <c r="T8" s="427">
        <v>46073.0</v>
      </c>
      <c r="U8" s="275" t="s">
        <v>93</v>
      </c>
      <c r="V8" s="296" t="str">
        <f>S8</f>
        <v>2026-8693</v>
      </c>
      <c r="W8" s="333">
        <v>46054.0</v>
      </c>
      <c r="X8" s="275" t="s">
        <v>93</v>
      </c>
      <c r="Y8" s="276"/>
      <c r="Z8" s="277"/>
      <c r="AA8" s="278"/>
      <c r="AB8" s="304" t="s">
        <v>1578</v>
      </c>
      <c r="AC8" s="262">
        <v>1.0</v>
      </c>
      <c r="AD8" s="262">
        <v>0.0</v>
      </c>
      <c r="AE8" s="262">
        <v>3.0</v>
      </c>
      <c r="AF8" s="280">
        <v>3.0</v>
      </c>
      <c r="AG8" s="280">
        <v>3.0</v>
      </c>
      <c r="AH8" s="281">
        <f t="shared" si="5"/>
        <v>0</v>
      </c>
      <c r="AI8" s="282">
        <f t="shared" si="6"/>
        <v>1</v>
      </c>
      <c r="AJ8" s="283">
        <v>1.0</v>
      </c>
      <c r="AK8" s="271">
        <v>46029.0</v>
      </c>
      <c r="AL8" s="271">
        <v>46041.0</v>
      </c>
      <c r="AM8" s="284"/>
      <c r="AN8" s="285">
        <v>46042.0</v>
      </c>
      <c r="AO8" s="262" t="s">
        <v>1579</v>
      </c>
      <c r="AP8" s="286" t="s">
        <v>1580</v>
      </c>
      <c r="AQ8" s="118" t="s">
        <v>1581</v>
      </c>
      <c r="AR8" s="286" t="s">
        <v>1582</v>
      </c>
      <c r="AS8" s="287">
        <v>19923.61</v>
      </c>
      <c r="AT8" s="287"/>
      <c r="AU8" s="288">
        <f>VLOOKUP(I8,DADOS!B:C,2,0)</f>
        <v>2304</v>
      </c>
      <c r="AV8" s="289">
        <f t="shared" si="7"/>
        <v>7440</v>
      </c>
      <c r="AW8" s="290"/>
      <c r="AX8" s="290"/>
      <c r="AY8" s="265"/>
      <c r="AZ8" s="291"/>
      <c r="BA8" s="292" t="s">
        <v>99</v>
      </c>
      <c r="BB8" s="293" t="s">
        <v>1583</v>
      </c>
      <c r="BC8" s="294"/>
      <c r="BD8" s="294"/>
      <c r="BE8" s="294"/>
      <c r="BF8" s="294"/>
      <c r="BG8" s="294">
        <f t="shared" si="8"/>
        <v>0</v>
      </c>
      <c r="BH8" s="294"/>
      <c r="BI8" s="294" t="s">
        <v>1580</v>
      </c>
      <c r="BJ8" s="424" t="s">
        <v>1584</v>
      </c>
      <c r="BK8" s="275" t="s">
        <v>94</v>
      </c>
      <c r="BL8" s="297"/>
      <c r="BM8" s="297"/>
      <c r="BN8" s="298"/>
      <c r="BO8" s="299"/>
      <c r="BP8" s="300"/>
      <c r="BQ8" s="300"/>
      <c r="BR8" s="300" t="str">
        <f t="shared" si="9"/>
        <v>#REF!</v>
      </c>
      <c r="BS8" s="300"/>
      <c r="BT8" s="300"/>
    </row>
    <row r="9">
      <c r="A9" s="140">
        <v>9.100059054E9</v>
      </c>
      <c r="B9" s="141" t="s">
        <v>1585</v>
      </c>
      <c r="C9" s="142"/>
      <c r="D9" s="142"/>
      <c r="E9" s="172" t="s">
        <v>410</v>
      </c>
      <c r="F9" s="144" t="s">
        <v>90</v>
      </c>
      <c r="G9" s="145" t="s">
        <v>124</v>
      </c>
      <c r="H9" s="146" t="s">
        <v>1586</v>
      </c>
      <c r="I9" s="147" t="s">
        <v>412</v>
      </c>
      <c r="J9" s="148" t="str">
        <f>VLOOKUP(I9,DADOS!B:F,5,0)</f>
        <v>ETEMILSON OLIVEIRA SANTOS - NTS149530</v>
      </c>
      <c r="K9" s="149" t="s">
        <v>131</v>
      </c>
      <c r="L9" s="190" t="s">
        <v>4</v>
      </c>
      <c r="M9" s="141" t="s">
        <v>126</v>
      </c>
      <c r="N9" s="150"/>
      <c r="O9" s="151"/>
      <c r="P9" s="385"/>
      <c r="Q9" s="150"/>
      <c r="R9" s="150"/>
      <c r="S9" s="153"/>
      <c r="T9" s="154"/>
      <c r="U9" s="153"/>
      <c r="V9" s="155" t="s">
        <v>1587</v>
      </c>
      <c r="W9" s="156"/>
      <c r="X9" s="153"/>
      <c r="Y9" s="157"/>
      <c r="Z9" s="158"/>
      <c r="AA9" s="159"/>
      <c r="AB9" s="160"/>
      <c r="AC9" s="141">
        <v>0.0</v>
      </c>
      <c r="AD9" s="141"/>
      <c r="AE9" s="141">
        <v>14.0</v>
      </c>
      <c r="AF9" s="161"/>
      <c r="AG9" s="161"/>
      <c r="AH9" s="162">
        <f t="shared" si="5"/>
        <v>14</v>
      </c>
      <c r="AI9" s="163">
        <f t="shared" si="6"/>
        <v>0</v>
      </c>
      <c r="AJ9" s="189"/>
      <c r="AK9" s="150"/>
      <c r="AL9" s="150"/>
      <c r="AM9" s="164"/>
      <c r="AN9" s="428">
        <v>46052.0</v>
      </c>
      <c r="AO9" s="141"/>
      <c r="AP9" s="166" t="s">
        <v>1588</v>
      </c>
      <c r="AQ9" s="167"/>
      <c r="AR9" s="429"/>
      <c r="AS9" s="168">
        <v>59210.5</v>
      </c>
      <c r="AT9" s="168"/>
      <c r="AU9" s="169">
        <f>VLOOKUP(I9,DADOS!B:C,2,0)</f>
        <v>2332</v>
      </c>
      <c r="AV9" s="170">
        <f t="shared" si="7"/>
        <v>34720</v>
      </c>
      <c r="AW9" s="171"/>
      <c r="AX9" s="171"/>
      <c r="AY9" s="172"/>
      <c r="AZ9" s="173"/>
      <c r="BA9" s="174"/>
      <c r="BB9" s="175"/>
      <c r="BC9" s="176"/>
      <c r="BD9" s="176"/>
      <c r="BE9" s="176"/>
      <c r="BF9" s="176"/>
      <c r="BG9" s="177">
        <f t="shared" si="8"/>
        <v>0</v>
      </c>
      <c r="BH9" s="176"/>
      <c r="BI9" s="176" t="s">
        <v>1589</v>
      </c>
      <c r="BJ9" s="178"/>
      <c r="BK9" s="179" t="s">
        <v>102</v>
      </c>
      <c r="BL9" s="180"/>
      <c r="BM9" s="180"/>
      <c r="BN9" s="181"/>
      <c r="BO9" s="130"/>
      <c r="BP9" s="32"/>
      <c r="BQ9" s="131"/>
      <c r="BR9" s="300" t="str">
        <f t="shared" si="9"/>
        <v>#REF!</v>
      </c>
      <c r="BS9" s="131"/>
      <c r="BT9" s="131"/>
    </row>
    <row r="10">
      <c r="A10" s="265">
        <v>9.10208094E9</v>
      </c>
      <c r="B10" s="262" t="s">
        <v>1590</v>
      </c>
      <c r="C10" s="264" t="s">
        <v>93</v>
      </c>
      <c r="D10" s="264" t="s">
        <v>93</v>
      </c>
      <c r="E10" s="265" t="s">
        <v>1591</v>
      </c>
      <c r="F10" s="305" t="s">
        <v>90</v>
      </c>
      <c r="G10" s="266" t="s">
        <v>495</v>
      </c>
      <c r="H10" s="430" t="s">
        <v>1592</v>
      </c>
      <c r="I10" s="268" t="s">
        <v>417</v>
      </c>
      <c r="J10" s="269" t="str">
        <f>VLOOKUP(I10,DADOS!B:F,5,0)</f>
        <v>GILVANDO RIOS DA CRUZ - NTS025538</v>
      </c>
      <c r="K10" s="431" t="s">
        <v>131</v>
      </c>
      <c r="L10" s="262" t="s">
        <v>4</v>
      </c>
      <c r="M10" s="262" t="s">
        <v>1593</v>
      </c>
      <c r="N10" s="271">
        <v>45988.0</v>
      </c>
      <c r="O10" s="272" t="s">
        <v>1594</v>
      </c>
      <c r="P10" s="252">
        <v>45986.0</v>
      </c>
      <c r="Q10" s="273">
        <v>45986.0</v>
      </c>
      <c r="R10" s="271">
        <v>45993.0</v>
      </c>
      <c r="S10" s="254" t="s">
        <v>1595</v>
      </c>
      <c r="T10" s="274">
        <v>46059.0</v>
      </c>
      <c r="U10" s="275" t="s">
        <v>93</v>
      </c>
      <c r="V10" s="255" t="s">
        <v>1596</v>
      </c>
      <c r="W10" s="274">
        <v>46059.0</v>
      </c>
      <c r="X10" s="275" t="s">
        <v>93</v>
      </c>
      <c r="Y10" s="276"/>
      <c r="Z10" s="277"/>
      <c r="AA10" s="278"/>
      <c r="AB10" s="304" t="s">
        <v>1597</v>
      </c>
      <c r="AC10" s="262">
        <v>1.0</v>
      </c>
      <c r="AD10" s="262">
        <v>0.0</v>
      </c>
      <c r="AE10" s="262">
        <v>2.0</v>
      </c>
      <c r="AF10" s="262">
        <v>2.0</v>
      </c>
      <c r="AG10" s="280">
        <v>2.0</v>
      </c>
      <c r="AH10" s="281">
        <f t="shared" si="5"/>
        <v>0</v>
      </c>
      <c r="AI10" s="282">
        <f t="shared" si="6"/>
        <v>1</v>
      </c>
      <c r="AJ10" s="283">
        <v>1.0</v>
      </c>
      <c r="AK10" s="271">
        <v>46000.0</v>
      </c>
      <c r="AL10" s="271">
        <v>46030.0</v>
      </c>
      <c r="AM10" s="284"/>
      <c r="AN10" s="285">
        <v>46034.0</v>
      </c>
      <c r="AO10" s="262" t="s">
        <v>1598</v>
      </c>
      <c r="AP10" s="294" t="s">
        <v>1599</v>
      </c>
      <c r="AQ10" s="118" t="s">
        <v>1600</v>
      </c>
      <c r="AR10" s="286" t="s">
        <v>1601</v>
      </c>
      <c r="AS10" s="287">
        <v>24261.49</v>
      </c>
      <c r="AT10" s="287"/>
      <c r="AU10" s="288">
        <f>VLOOKUP(I10,DADOS!B:C,2,0)</f>
        <v>2304</v>
      </c>
      <c r="AV10" s="289">
        <f t="shared" si="7"/>
        <v>4960</v>
      </c>
      <c r="AW10" s="290"/>
      <c r="AX10" s="290"/>
      <c r="AY10" s="265"/>
      <c r="AZ10" s="291"/>
      <c r="BA10" s="292" t="s">
        <v>99</v>
      </c>
      <c r="BB10" s="293" t="s">
        <v>1602</v>
      </c>
      <c r="BC10" s="294"/>
      <c r="BD10" s="294"/>
      <c r="BE10" s="294"/>
      <c r="BF10" s="294"/>
      <c r="BG10" s="294">
        <f t="shared" si="8"/>
        <v>0</v>
      </c>
      <c r="BH10" s="294"/>
      <c r="BI10" s="294" t="s">
        <v>1599</v>
      </c>
      <c r="BJ10" s="295" t="s">
        <v>1603</v>
      </c>
      <c r="BK10" s="432" t="s">
        <v>429</v>
      </c>
      <c r="BL10" s="297"/>
      <c r="BM10" s="297"/>
      <c r="BN10" s="298"/>
      <c r="BO10" s="299"/>
      <c r="BP10" s="300"/>
      <c r="BQ10" s="300"/>
      <c r="BR10" s="300" t="str">
        <f t="shared" si="9"/>
        <v>#REF!</v>
      </c>
      <c r="BS10" s="300"/>
      <c r="BT10" s="300"/>
    </row>
    <row r="11">
      <c r="A11" s="261">
        <v>9.102203517E9</v>
      </c>
      <c r="B11" s="262" t="s">
        <v>1604</v>
      </c>
      <c r="C11" s="264" t="s">
        <v>93</v>
      </c>
      <c r="D11" s="264" t="s">
        <v>93</v>
      </c>
      <c r="E11" s="265" t="s">
        <v>1605</v>
      </c>
      <c r="F11" s="305" t="s">
        <v>1606</v>
      </c>
      <c r="G11" s="266" t="s">
        <v>495</v>
      </c>
      <c r="H11" s="302" t="s">
        <v>1607</v>
      </c>
      <c r="I11" s="268" t="s">
        <v>584</v>
      </c>
      <c r="J11" s="269" t="str">
        <f>VLOOKUP(I11,DADOS!B:F,5,0)</f>
        <v>GILVANDO RIOS DA CRUZ - NTS025538</v>
      </c>
      <c r="K11" s="270" t="s">
        <v>413</v>
      </c>
      <c r="L11" s="262" t="s">
        <v>199</v>
      </c>
      <c r="M11" s="262" t="s">
        <v>1608</v>
      </c>
      <c r="N11" s="262" t="s">
        <v>1609</v>
      </c>
      <c r="O11" s="272"/>
      <c r="P11" s="271">
        <v>46027.0</v>
      </c>
      <c r="Q11" s="273">
        <v>46027.0</v>
      </c>
      <c r="R11" s="271">
        <v>46029.0</v>
      </c>
      <c r="S11" s="254" t="s">
        <v>1610</v>
      </c>
      <c r="T11" s="274">
        <v>46059.0</v>
      </c>
      <c r="U11" s="275" t="s">
        <v>93</v>
      </c>
      <c r="V11" s="296" t="s">
        <v>1611</v>
      </c>
      <c r="W11" s="274">
        <v>46059.0</v>
      </c>
      <c r="X11" s="275" t="s">
        <v>93</v>
      </c>
      <c r="Y11" s="276"/>
      <c r="Z11" s="277"/>
      <c r="AA11" s="368" t="s">
        <v>93</v>
      </c>
      <c r="AB11" s="304" t="s">
        <v>1612</v>
      </c>
      <c r="AC11" s="262">
        <v>0.0</v>
      </c>
      <c r="AD11" s="262">
        <v>0.0</v>
      </c>
      <c r="AE11" s="262">
        <v>2.0</v>
      </c>
      <c r="AF11" s="280">
        <v>2.0</v>
      </c>
      <c r="AG11" s="280">
        <v>2.0</v>
      </c>
      <c r="AH11" s="281">
        <f t="shared" si="5"/>
        <v>0</v>
      </c>
      <c r="AI11" s="282">
        <f t="shared" si="6"/>
        <v>1</v>
      </c>
      <c r="AJ11" s="283">
        <v>1.0</v>
      </c>
      <c r="AK11" s="271">
        <v>46028.0</v>
      </c>
      <c r="AL11" s="271">
        <v>46035.0</v>
      </c>
      <c r="AM11" s="284"/>
      <c r="AN11" s="285">
        <v>46035.0</v>
      </c>
      <c r="AO11" s="262" t="s">
        <v>1613</v>
      </c>
      <c r="AP11" s="286" t="s">
        <v>1614</v>
      </c>
      <c r="AQ11" s="118" t="s">
        <v>1615</v>
      </c>
      <c r="AR11" s="286" t="s">
        <v>1616</v>
      </c>
      <c r="AS11" s="287">
        <v>409763.77</v>
      </c>
      <c r="AT11" s="287"/>
      <c r="AU11" s="288">
        <f>VLOOKUP(I11,DADOS!B:C,2,0)</f>
        <v>2381</v>
      </c>
      <c r="AV11" s="289">
        <f t="shared" si="7"/>
        <v>4960</v>
      </c>
      <c r="AW11" s="290"/>
      <c r="AX11" s="290"/>
      <c r="AY11" s="265"/>
      <c r="AZ11" s="291"/>
      <c r="BA11" s="292" t="s">
        <v>1617</v>
      </c>
      <c r="BB11" s="293" t="s">
        <v>1618</v>
      </c>
      <c r="BC11" s="294"/>
      <c r="BD11" s="294"/>
      <c r="BE11" s="294"/>
      <c r="BF11" s="294"/>
      <c r="BG11" s="334">
        <f t="shared" si="8"/>
        <v>0</v>
      </c>
      <c r="BH11" s="294"/>
      <c r="BI11" s="294" t="s">
        <v>1614</v>
      </c>
      <c r="BJ11" s="433" t="s">
        <v>1619</v>
      </c>
      <c r="BK11" s="434" t="s">
        <v>102</v>
      </c>
      <c r="BL11" s="129"/>
      <c r="BM11" s="129"/>
      <c r="BN11" s="36"/>
      <c r="BO11" s="130"/>
      <c r="BP11" s="32"/>
      <c r="BQ11" s="32"/>
      <c r="BR11" s="300" t="str">
        <f t="shared" si="9"/>
        <v>#REF!</v>
      </c>
      <c r="BS11" s="300"/>
      <c r="BT11" s="300"/>
    </row>
    <row r="12">
      <c r="A12" s="435">
        <v>9.101929323E9</v>
      </c>
      <c r="B12" s="262" t="s">
        <v>1620</v>
      </c>
      <c r="C12" s="264" t="s">
        <v>93</v>
      </c>
      <c r="D12" s="264" t="s">
        <v>93</v>
      </c>
      <c r="E12" s="265" t="s">
        <v>1621</v>
      </c>
      <c r="F12" s="305" t="s">
        <v>386</v>
      </c>
      <c r="G12" s="266" t="s">
        <v>495</v>
      </c>
      <c r="H12" s="430" t="s">
        <v>1592</v>
      </c>
      <c r="I12" s="268" t="s">
        <v>682</v>
      </c>
      <c r="J12" s="269" t="str">
        <f>VLOOKUP(I12,DADOS!B:F,5,0)</f>
        <v>ETEMILSON OLIVEIRA SANTOS - NTS149530</v>
      </c>
      <c r="K12" s="270" t="s">
        <v>497</v>
      </c>
      <c r="L12" s="262" t="s">
        <v>4</v>
      </c>
      <c r="M12" s="262" t="s">
        <v>91</v>
      </c>
      <c r="N12" s="271">
        <v>45979.0</v>
      </c>
      <c r="O12" s="272" t="s">
        <v>1622</v>
      </c>
      <c r="P12" s="252">
        <v>45980.0</v>
      </c>
      <c r="Q12" s="422">
        <v>45981.0</v>
      </c>
      <c r="R12" s="271">
        <v>45994.0</v>
      </c>
      <c r="S12" s="254" t="s">
        <v>1623</v>
      </c>
      <c r="T12" s="274"/>
      <c r="U12" s="275" t="s">
        <v>93</v>
      </c>
      <c r="V12" s="255" t="s">
        <v>1624</v>
      </c>
      <c r="W12" s="274">
        <v>46059.0</v>
      </c>
      <c r="X12" s="275" t="s">
        <v>93</v>
      </c>
      <c r="Y12" s="276"/>
      <c r="Z12" s="277"/>
      <c r="AA12" s="432" t="s">
        <v>1625</v>
      </c>
      <c r="AB12" s="304" t="s">
        <v>1626</v>
      </c>
      <c r="AC12" s="262">
        <v>2.0</v>
      </c>
      <c r="AD12" s="262">
        <v>0.0</v>
      </c>
      <c r="AE12" s="262">
        <v>13.0</v>
      </c>
      <c r="AF12" s="262">
        <f>9+4</f>
        <v>13</v>
      </c>
      <c r="AG12" s="280">
        <f>7+6</f>
        <v>13</v>
      </c>
      <c r="AH12" s="281">
        <f t="shared" si="5"/>
        <v>0</v>
      </c>
      <c r="AI12" s="282">
        <f t="shared" si="6"/>
        <v>1</v>
      </c>
      <c r="AJ12" s="283">
        <v>1.0</v>
      </c>
      <c r="AK12" s="271">
        <v>45996.0</v>
      </c>
      <c r="AL12" s="271">
        <v>46009.0</v>
      </c>
      <c r="AM12" s="284"/>
      <c r="AN12" s="285">
        <v>46027.0</v>
      </c>
      <c r="AO12" s="262" t="s">
        <v>1627</v>
      </c>
      <c r="AP12" s="294" t="s">
        <v>1628</v>
      </c>
      <c r="AQ12" s="118" t="s">
        <v>1629</v>
      </c>
      <c r="AR12" s="286" t="s">
        <v>1630</v>
      </c>
      <c r="AS12" s="287">
        <v>66545.75</v>
      </c>
      <c r="AT12" s="287"/>
      <c r="AU12" s="288">
        <f>VLOOKUP(I12,DADOS!B:C,2,0)</f>
        <v>2349</v>
      </c>
      <c r="AV12" s="289">
        <f t="shared" si="7"/>
        <v>32240</v>
      </c>
      <c r="AW12" s="290">
        <v>0.39</v>
      </c>
      <c r="AX12" s="290"/>
      <c r="AY12" s="265"/>
      <c r="AZ12" s="291"/>
      <c r="BA12" s="292" t="s">
        <v>616</v>
      </c>
      <c r="BB12" s="293" t="s">
        <v>1631</v>
      </c>
      <c r="BC12" s="294"/>
      <c r="BD12" s="294"/>
      <c r="BE12" s="294"/>
      <c r="BF12" s="294"/>
      <c r="BG12" s="294">
        <f t="shared" si="8"/>
        <v>0</v>
      </c>
      <c r="BH12" s="294"/>
      <c r="BI12" s="294" t="s">
        <v>1628</v>
      </c>
      <c r="BJ12" s="295" t="s">
        <v>1632</v>
      </c>
      <c r="BK12" s="434" t="s">
        <v>429</v>
      </c>
      <c r="BL12" s="129"/>
      <c r="BM12" s="129"/>
      <c r="BN12" s="36"/>
      <c r="BO12" s="130"/>
      <c r="BP12" s="32"/>
      <c r="BQ12" s="32"/>
      <c r="BR12" s="300" t="str">
        <f t="shared" si="9"/>
        <v>#REF!</v>
      </c>
      <c r="BS12" s="300"/>
      <c r="BT12" s="300"/>
    </row>
    <row r="13">
      <c r="A13" s="435">
        <v>9.101866876E9</v>
      </c>
      <c r="B13" s="262" t="s">
        <v>1633</v>
      </c>
      <c r="C13" s="264" t="s">
        <v>93</v>
      </c>
      <c r="D13" s="264" t="s">
        <v>93</v>
      </c>
      <c r="E13" s="265" t="s">
        <v>1634</v>
      </c>
      <c r="F13" s="305" t="s">
        <v>386</v>
      </c>
      <c r="G13" s="266" t="s">
        <v>495</v>
      </c>
      <c r="H13" s="430" t="s">
        <v>1592</v>
      </c>
      <c r="I13" s="268" t="s">
        <v>805</v>
      </c>
      <c r="J13" s="269" t="str">
        <f>VLOOKUP(I13,DADOS!B:F,5,0)</f>
        <v>ETEMILSON OLIVEIRA SANTOS - NTS149530</v>
      </c>
      <c r="K13" s="270" t="s">
        <v>497</v>
      </c>
      <c r="L13" s="262" t="s">
        <v>4</v>
      </c>
      <c r="M13" s="262" t="s">
        <v>91</v>
      </c>
      <c r="N13" s="271">
        <v>45979.0</v>
      </c>
      <c r="O13" s="272" t="s">
        <v>1635</v>
      </c>
      <c r="P13" s="252">
        <v>45980.0</v>
      </c>
      <c r="Q13" s="422">
        <v>45981.0</v>
      </c>
      <c r="R13" s="271">
        <v>45993.0</v>
      </c>
      <c r="S13" s="254" t="s">
        <v>1636</v>
      </c>
      <c r="T13" s="274"/>
      <c r="U13" s="259" t="s">
        <v>1637</v>
      </c>
      <c r="V13" s="255" t="s">
        <v>1638</v>
      </c>
      <c r="W13" s="274">
        <v>46059.0</v>
      </c>
      <c r="X13" s="275" t="s">
        <v>93</v>
      </c>
      <c r="Y13" s="276"/>
      <c r="Z13" s="277"/>
      <c r="AA13" s="432" t="s">
        <v>1639</v>
      </c>
      <c r="AB13" s="304" t="s">
        <v>1640</v>
      </c>
      <c r="AC13" s="262">
        <v>1.0</v>
      </c>
      <c r="AD13" s="262">
        <v>0.0</v>
      </c>
      <c r="AE13" s="262">
        <v>15.0</v>
      </c>
      <c r="AF13" s="262">
        <f>6+6+2+1</f>
        <v>15</v>
      </c>
      <c r="AG13" s="280">
        <f>7+7+1</f>
        <v>15</v>
      </c>
      <c r="AH13" s="281">
        <f t="shared" si="5"/>
        <v>0</v>
      </c>
      <c r="AI13" s="282">
        <f t="shared" si="6"/>
        <v>1</v>
      </c>
      <c r="AJ13" s="283">
        <v>1.0</v>
      </c>
      <c r="AK13" s="271">
        <v>45995.0</v>
      </c>
      <c r="AL13" s="271">
        <v>46029.0</v>
      </c>
      <c r="AM13" s="284"/>
      <c r="AN13" s="285">
        <v>46031.0</v>
      </c>
      <c r="AO13" s="262" t="s">
        <v>1641</v>
      </c>
      <c r="AP13" s="294" t="s">
        <v>1642</v>
      </c>
      <c r="AQ13" s="118" t="s">
        <v>1643</v>
      </c>
      <c r="AR13" s="286" t="s">
        <v>1644</v>
      </c>
      <c r="AS13" s="287">
        <v>131125.23</v>
      </c>
      <c r="AT13" s="287"/>
      <c r="AU13" s="288">
        <f>VLOOKUP(I13,DADOS!B:C,2,0)</f>
        <v>2302</v>
      </c>
      <c r="AV13" s="289">
        <f t="shared" si="7"/>
        <v>37200</v>
      </c>
      <c r="AW13" s="290" t="s">
        <v>93</v>
      </c>
      <c r="AX13" s="290" t="s">
        <v>93</v>
      </c>
      <c r="AY13" s="265"/>
      <c r="AZ13" s="291"/>
      <c r="BA13" s="292" t="s">
        <v>616</v>
      </c>
      <c r="BB13" s="293" t="s">
        <v>1645</v>
      </c>
      <c r="BC13" s="294"/>
      <c r="BD13" s="294"/>
      <c r="BE13" s="294"/>
      <c r="BF13" s="294"/>
      <c r="BG13" s="294">
        <f t="shared" si="8"/>
        <v>0</v>
      </c>
      <c r="BH13" s="294"/>
      <c r="BI13" s="294" t="s">
        <v>1642</v>
      </c>
      <c r="BJ13" s="295" t="s">
        <v>1646</v>
      </c>
      <c r="BK13" s="317" t="s">
        <v>429</v>
      </c>
      <c r="BL13" s="297"/>
      <c r="BM13" s="297"/>
      <c r="BN13" s="298"/>
      <c r="BO13" s="299"/>
      <c r="BP13" s="300"/>
      <c r="BQ13" s="300"/>
      <c r="BR13" s="300" t="str">
        <f t="shared" si="9"/>
        <v>#REF!</v>
      </c>
      <c r="BS13" s="300"/>
      <c r="BT13" s="300"/>
    </row>
    <row r="14">
      <c r="A14" s="435">
        <v>9.102348727E9</v>
      </c>
      <c r="B14" s="262" t="s">
        <v>1647</v>
      </c>
      <c r="C14" s="264" t="s">
        <v>93</v>
      </c>
      <c r="D14" s="264" t="s">
        <v>93</v>
      </c>
      <c r="E14" s="265" t="s">
        <v>1648</v>
      </c>
      <c r="F14" s="305" t="s">
        <v>386</v>
      </c>
      <c r="G14" s="266" t="s">
        <v>495</v>
      </c>
      <c r="H14" s="430" t="s">
        <v>1592</v>
      </c>
      <c r="I14" s="268" t="s">
        <v>496</v>
      </c>
      <c r="J14" s="269" t="str">
        <f>VLOOKUP(I14,DADOS!B:F,5,0)</f>
        <v>ETEMILSON OLIVEIRA SANTOS - NTS149530</v>
      </c>
      <c r="K14" s="270" t="s">
        <v>497</v>
      </c>
      <c r="L14" s="262" t="s">
        <v>4</v>
      </c>
      <c r="M14" s="262" t="s">
        <v>105</v>
      </c>
      <c r="N14" s="271">
        <v>45988.0</v>
      </c>
      <c r="O14" s="272" t="s">
        <v>1649</v>
      </c>
      <c r="P14" s="252">
        <v>45989.0</v>
      </c>
      <c r="Q14" s="273">
        <v>45989.0</v>
      </c>
      <c r="R14" s="271">
        <v>46001.0</v>
      </c>
      <c r="S14" s="254" t="s">
        <v>1650</v>
      </c>
      <c r="T14" s="274"/>
      <c r="U14" s="275" t="s">
        <v>93</v>
      </c>
      <c r="V14" s="255" t="s">
        <v>1651</v>
      </c>
      <c r="W14" s="274">
        <v>46059.0</v>
      </c>
      <c r="X14" s="254" t="s">
        <v>1652</v>
      </c>
      <c r="Y14" s="276">
        <v>46007.0</v>
      </c>
      <c r="Z14" s="277" t="s">
        <v>572</v>
      </c>
      <c r="AA14" s="432" t="s">
        <v>1653</v>
      </c>
      <c r="AB14" s="304" t="s">
        <v>1654</v>
      </c>
      <c r="AC14" s="262">
        <v>4.0</v>
      </c>
      <c r="AD14" s="436">
        <v>0.0</v>
      </c>
      <c r="AE14" s="262">
        <f>8-1</f>
        <v>7</v>
      </c>
      <c r="AF14" s="262">
        <f t="shared" ref="AF14:AG14" si="10">6+1</f>
        <v>7</v>
      </c>
      <c r="AG14" s="280">
        <f t="shared" si="10"/>
        <v>7</v>
      </c>
      <c r="AH14" s="281">
        <f t="shared" si="5"/>
        <v>0</v>
      </c>
      <c r="AI14" s="282">
        <f t="shared" si="6"/>
        <v>1</v>
      </c>
      <c r="AJ14" s="283">
        <v>1.0</v>
      </c>
      <c r="AK14" s="271">
        <v>46007.0</v>
      </c>
      <c r="AL14" s="271">
        <v>46011.0</v>
      </c>
      <c r="AM14" s="284"/>
      <c r="AN14" s="285">
        <v>46027.0</v>
      </c>
      <c r="AO14" s="262" t="s">
        <v>1655</v>
      </c>
      <c r="AP14" s="294" t="s">
        <v>1656</v>
      </c>
      <c r="AQ14" s="118" t="s">
        <v>1657</v>
      </c>
      <c r="AR14" s="286" t="s">
        <v>1658</v>
      </c>
      <c r="AS14" s="287">
        <v>95698.79</v>
      </c>
      <c r="AT14" s="287"/>
      <c r="AU14" s="288">
        <f>VLOOKUP(I14,DADOS!B:C,2,0)</f>
        <v>2300</v>
      </c>
      <c r="AV14" s="289">
        <f t="shared" si="7"/>
        <v>17360</v>
      </c>
      <c r="AW14" s="290">
        <v>0.18</v>
      </c>
      <c r="AX14" s="290"/>
      <c r="AY14" s="265"/>
      <c r="AZ14" s="291"/>
      <c r="BA14" s="292" t="s">
        <v>1239</v>
      </c>
      <c r="BB14" s="293" t="s">
        <v>1659</v>
      </c>
      <c r="BC14" s="294" t="s">
        <v>1660</v>
      </c>
      <c r="BD14" s="294" t="s">
        <v>1661</v>
      </c>
      <c r="BE14" s="294" t="s">
        <v>1662</v>
      </c>
      <c r="BF14" s="294" t="s">
        <v>1663</v>
      </c>
      <c r="BG14" s="294">
        <f t="shared" si="8"/>
        <v>1008</v>
      </c>
      <c r="BH14" s="294" t="s">
        <v>1664</v>
      </c>
      <c r="BI14" s="294" t="s">
        <v>1665</v>
      </c>
      <c r="BJ14" s="295" t="s">
        <v>1666</v>
      </c>
      <c r="BK14" s="434" t="s">
        <v>429</v>
      </c>
      <c r="BL14" s="297"/>
      <c r="BM14" s="297"/>
      <c r="BN14" s="298"/>
      <c r="BO14" s="299"/>
      <c r="BP14" s="300"/>
      <c r="BQ14" s="300"/>
      <c r="BR14" s="300" t="str">
        <f t="shared" si="9"/>
        <v>#REF!</v>
      </c>
      <c r="BS14" s="300"/>
      <c r="BT14" s="300"/>
    </row>
    <row r="15">
      <c r="A15" s="437">
        <v>9.101728271E9</v>
      </c>
      <c r="B15" s="262" t="s">
        <v>1667</v>
      </c>
      <c r="C15" s="264" t="s">
        <v>93</v>
      </c>
      <c r="D15" s="264" t="s">
        <v>93</v>
      </c>
      <c r="E15" s="265" t="s">
        <v>1668</v>
      </c>
      <c r="F15" s="438" t="s">
        <v>129</v>
      </c>
      <c r="G15" s="266" t="s">
        <v>495</v>
      </c>
      <c r="H15" s="302" t="s">
        <v>1669</v>
      </c>
      <c r="I15" s="268" t="s">
        <v>733</v>
      </c>
      <c r="J15" s="269" t="str">
        <f>VLOOKUP(I15,DADOS!B:F,5,0)</f>
        <v>ETEMILSON OLIVEIRA SANTOS - NTS149530</v>
      </c>
      <c r="K15" s="270" t="s">
        <v>497</v>
      </c>
      <c r="L15" s="303" t="s">
        <v>4</v>
      </c>
      <c r="M15" s="262" t="s">
        <v>91</v>
      </c>
      <c r="N15" s="271">
        <v>46008.0</v>
      </c>
      <c r="O15" s="272" t="s">
        <v>672</v>
      </c>
      <c r="P15" s="252">
        <v>46008.0</v>
      </c>
      <c r="Q15" s="422">
        <v>46010.0</v>
      </c>
      <c r="R15" s="271">
        <v>46029.0</v>
      </c>
      <c r="S15" s="254" t="s">
        <v>1670</v>
      </c>
      <c r="T15" s="274">
        <v>46054.0</v>
      </c>
      <c r="U15" s="275" t="s">
        <v>93</v>
      </c>
      <c r="V15" s="255" t="s">
        <v>1671</v>
      </c>
      <c r="W15" s="274">
        <v>46054.0</v>
      </c>
      <c r="X15" s="254" t="s">
        <v>1672</v>
      </c>
      <c r="Y15" s="276">
        <v>46036.0</v>
      </c>
      <c r="Z15" s="277" t="s">
        <v>448</v>
      </c>
      <c r="AA15" s="432" t="s">
        <v>1673</v>
      </c>
      <c r="AB15" s="321" t="s">
        <v>1674</v>
      </c>
      <c r="AC15" s="262">
        <v>2.0</v>
      </c>
      <c r="AD15" s="262">
        <v>0.0</v>
      </c>
      <c r="AE15" s="262">
        <v>13.0</v>
      </c>
      <c r="AF15" s="280">
        <v>13.0</v>
      </c>
      <c r="AG15" s="280">
        <v>13.0</v>
      </c>
      <c r="AH15" s="281">
        <f t="shared" si="5"/>
        <v>0</v>
      </c>
      <c r="AI15" s="282">
        <f t="shared" si="6"/>
        <v>1</v>
      </c>
      <c r="AJ15" s="283">
        <v>0.5</v>
      </c>
      <c r="AK15" s="271">
        <v>46028.0</v>
      </c>
      <c r="AL15" s="271">
        <v>46036.0</v>
      </c>
      <c r="AM15" s="284"/>
      <c r="AN15" s="285">
        <v>46042.0</v>
      </c>
      <c r="AO15" s="262" t="s">
        <v>1675</v>
      </c>
      <c r="AP15" s="439" t="s">
        <v>1676</v>
      </c>
      <c r="AQ15" s="118">
        <v>-11.308754</v>
      </c>
      <c r="AR15" s="286" t="s">
        <v>1677</v>
      </c>
      <c r="AS15" s="287">
        <v>127283.38</v>
      </c>
      <c r="AT15" s="287"/>
      <c r="AU15" s="288">
        <f>VLOOKUP(I15,DADOS!B:C,2,0)</f>
        <v>2303</v>
      </c>
      <c r="AV15" s="289">
        <f t="shared" si="7"/>
        <v>32240</v>
      </c>
      <c r="AW15" s="290">
        <v>0.11</v>
      </c>
      <c r="AX15" s="290"/>
      <c r="AY15" s="265"/>
      <c r="AZ15" s="291"/>
      <c r="BA15" s="292" t="s">
        <v>140</v>
      </c>
      <c r="BB15" s="293" t="s">
        <v>1678</v>
      </c>
      <c r="BC15" s="294"/>
      <c r="BD15" s="294"/>
      <c r="BE15" s="294"/>
      <c r="BF15" s="294"/>
      <c r="BG15" s="294">
        <f t="shared" si="8"/>
        <v>0</v>
      </c>
      <c r="BH15" s="294"/>
      <c r="BI15" s="440" t="s">
        <v>1676</v>
      </c>
      <c r="BJ15" s="295" t="s">
        <v>1679</v>
      </c>
      <c r="BK15" s="425" t="s">
        <v>102</v>
      </c>
      <c r="BL15" s="297"/>
      <c r="BM15" s="297"/>
      <c r="BN15" s="298"/>
      <c r="BO15" s="130"/>
      <c r="BP15" s="300"/>
      <c r="BQ15" s="300"/>
      <c r="BR15" s="300" t="str">
        <f t="shared" si="9"/>
        <v>#REF!</v>
      </c>
      <c r="BS15" s="300"/>
      <c r="BT15" s="300"/>
    </row>
    <row r="16">
      <c r="A16" s="437">
        <v>9.101864891E9</v>
      </c>
      <c r="B16" s="262" t="s">
        <v>1680</v>
      </c>
      <c r="C16" s="264" t="s">
        <v>93</v>
      </c>
      <c r="D16" s="264" t="s">
        <v>93</v>
      </c>
      <c r="E16" s="265" t="s">
        <v>1681</v>
      </c>
      <c r="F16" s="441" t="s">
        <v>129</v>
      </c>
      <c r="G16" s="266" t="s">
        <v>495</v>
      </c>
      <c r="H16" s="302" t="s">
        <v>1682</v>
      </c>
      <c r="I16" s="268" t="s">
        <v>965</v>
      </c>
      <c r="J16" s="269" t="str">
        <f>VLOOKUP(I16,DADOS!B:F,5,0)</f>
        <v>ETEMILSON OLIVEIRA SANTOS - NTS149530</v>
      </c>
      <c r="K16" s="270" t="s">
        <v>131</v>
      </c>
      <c r="L16" s="303" t="s">
        <v>4</v>
      </c>
      <c r="M16" s="262" t="s">
        <v>1683</v>
      </c>
      <c r="N16" s="271">
        <v>46008.0</v>
      </c>
      <c r="O16" s="272" t="s">
        <v>1684</v>
      </c>
      <c r="P16" s="252">
        <v>46008.0</v>
      </c>
      <c r="Q16" s="340">
        <v>46008.0</v>
      </c>
      <c r="R16" s="271">
        <v>46029.0</v>
      </c>
      <c r="S16" s="254" t="s">
        <v>1685</v>
      </c>
      <c r="T16" s="274">
        <v>46054.0</v>
      </c>
      <c r="U16" s="275" t="s">
        <v>93</v>
      </c>
      <c r="V16" s="255" t="s">
        <v>1686</v>
      </c>
      <c r="W16" s="274">
        <v>46054.0</v>
      </c>
      <c r="X16" s="275" t="s">
        <v>93</v>
      </c>
      <c r="Y16" s="276"/>
      <c r="Z16" s="277"/>
      <c r="AA16" s="432" t="s">
        <v>1687</v>
      </c>
      <c r="AB16" s="321" t="s">
        <v>1688</v>
      </c>
      <c r="AC16" s="262">
        <v>4.0</v>
      </c>
      <c r="AD16" s="262">
        <v>0.0</v>
      </c>
      <c r="AE16" s="262">
        <f>46+2</f>
        <v>48</v>
      </c>
      <c r="AF16" s="280">
        <v>48.0</v>
      </c>
      <c r="AG16" s="280">
        <v>48.0</v>
      </c>
      <c r="AH16" s="281">
        <f t="shared" si="5"/>
        <v>0</v>
      </c>
      <c r="AI16" s="282">
        <f t="shared" si="6"/>
        <v>1</v>
      </c>
      <c r="AJ16" s="283">
        <v>0.5</v>
      </c>
      <c r="AK16" s="271">
        <v>46028.0</v>
      </c>
      <c r="AL16" s="271">
        <v>46052.0</v>
      </c>
      <c r="AM16" s="284"/>
      <c r="AN16" s="285">
        <v>46051.0</v>
      </c>
      <c r="AO16" s="262" t="s">
        <v>1689</v>
      </c>
      <c r="AP16" s="286" t="s">
        <v>1690</v>
      </c>
      <c r="AQ16" s="118" t="s">
        <v>1691</v>
      </c>
      <c r="AR16" s="286" t="s">
        <v>1692</v>
      </c>
      <c r="AS16" s="287">
        <v>413451.93</v>
      </c>
      <c r="AT16" s="287"/>
      <c r="AU16" s="288">
        <f>VLOOKUP(I16,DADOS!B:C,2,0)</f>
        <v>2301</v>
      </c>
      <c r="AV16" s="289">
        <f t="shared" si="7"/>
        <v>119040</v>
      </c>
      <c r="AW16" s="290">
        <v>0.12</v>
      </c>
      <c r="AX16" s="290"/>
      <c r="AY16" s="265"/>
      <c r="AZ16" s="291"/>
      <c r="BA16" s="292" t="s">
        <v>156</v>
      </c>
      <c r="BB16" s="293" t="s">
        <v>1693</v>
      </c>
      <c r="BC16" s="294"/>
      <c r="BD16" s="294"/>
      <c r="BE16" s="294"/>
      <c r="BF16" s="294"/>
      <c r="BG16" s="294">
        <f t="shared" si="8"/>
        <v>0</v>
      </c>
      <c r="BH16" s="294"/>
      <c r="BI16" s="324" t="s">
        <v>1690</v>
      </c>
      <c r="BJ16" s="295" t="s">
        <v>1694</v>
      </c>
      <c r="BK16" s="425" t="s">
        <v>102</v>
      </c>
      <c r="BL16" s="297"/>
      <c r="BM16" s="297"/>
      <c r="BN16" s="298"/>
      <c r="BO16" s="299" t="s">
        <v>1695</v>
      </c>
      <c r="BP16" s="300"/>
      <c r="BQ16" s="300"/>
      <c r="BR16" s="300" t="str">
        <f t="shared" si="9"/>
        <v>#REF!</v>
      </c>
      <c r="BS16" s="300"/>
      <c r="BT16" s="300"/>
    </row>
    <row r="17">
      <c r="A17" s="261">
        <v>9.101891195E9</v>
      </c>
      <c r="B17" s="262" t="s">
        <v>1696</v>
      </c>
      <c r="C17" s="264" t="s">
        <v>1697</v>
      </c>
      <c r="D17" s="264" t="s">
        <v>1698</v>
      </c>
      <c r="E17" s="265" t="s">
        <v>1699</v>
      </c>
      <c r="F17" s="442" t="s">
        <v>129</v>
      </c>
      <c r="G17" s="266" t="s">
        <v>495</v>
      </c>
      <c r="H17" s="302" t="s">
        <v>1700</v>
      </c>
      <c r="I17" s="268" t="s">
        <v>412</v>
      </c>
      <c r="J17" s="269" t="str">
        <f>VLOOKUP(I17,DADOS!B:F,5,0)</f>
        <v>ETEMILSON OLIVEIRA SANTOS - NTS149530</v>
      </c>
      <c r="K17" s="270" t="s">
        <v>497</v>
      </c>
      <c r="L17" s="262" t="s">
        <v>1285</v>
      </c>
      <c r="M17" s="262" t="s">
        <v>164</v>
      </c>
      <c r="N17" s="271"/>
      <c r="O17" s="272"/>
      <c r="P17" s="349">
        <v>46006.0</v>
      </c>
      <c r="Q17" s="422">
        <v>46010.0</v>
      </c>
      <c r="R17" s="271">
        <v>46029.0</v>
      </c>
      <c r="S17" s="254" t="s">
        <v>1701</v>
      </c>
      <c r="T17" s="274">
        <v>46054.0</v>
      </c>
      <c r="U17" s="275" t="s">
        <v>93</v>
      </c>
      <c r="V17" s="255" t="s">
        <v>1702</v>
      </c>
      <c r="W17" s="274">
        <v>46054.0</v>
      </c>
      <c r="X17" s="275" t="s">
        <v>93</v>
      </c>
      <c r="Y17" s="276"/>
      <c r="Z17" s="277"/>
      <c r="AA17" s="432" t="s">
        <v>1703</v>
      </c>
      <c r="AB17" s="321" t="s">
        <v>1704</v>
      </c>
      <c r="AC17" s="262">
        <v>2.0</v>
      </c>
      <c r="AD17" s="262">
        <v>0.0</v>
      </c>
      <c r="AE17" s="262">
        <v>8.0</v>
      </c>
      <c r="AF17" s="280">
        <v>8.0</v>
      </c>
      <c r="AG17" s="280">
        <v>8.0</v>
      </c>
      <c r="AH17" s="281">
        <f t="shared" si="5"/>
        <v>0</v>
      </c>
      <c r="AI17" s="282">
        <f t="shared" si="6"/>
        <v>1</v>
      </c>
      <c r="AJ17" s="283">
        <v>1.0</v>
      </c>
      <c r="AK17" s="271">
        <v>46035.0</v>
      </c>
      <c r="AL17" s="271">
        <v>46038.0</v>
      </c>
      <c r="AM17" s="284"/>
      <c r="AN17" s="285">
        <v>46036.0</v>
      </c>
      <c r="AO17" s="262" t="s">
        <v>1705</v>
      </c>
      <c r="AP17" s="294" t="s">
        <v>1706</v>
      </c>
      <c r="AQ17" s="118" t="s">
        <v>1707</v>
      </c>
      <c r="AR17" s="286" t="s">
        <v>1708</v>
      </c>
      <c r="AS17" s="287">
        <v>32720.17</v>
      </c>
      <c r="AT17" s="287"/>
      <c r="AU17" s="288">
        <f>VLOOKUP(I17,DADOS!B:C,2,0)</f>
        <v>2332</v>
      </c>
      <c r="AV17" s="289">
        <f t="shared" si="7"/>
        <v>19840</v>
      </c>
      <c r="AW17" s="290">
        <v>0.42</v>
      </c>
      <c r="AX17" s="290"/>
      <c r="AY17" s="265"/>
      <c r="AZ17" s="291"/>
      <c r="BA17" s="292" t="s">
        <v>140</v>
      </c>
      <c r="BB17" s="293" t="s">
        <v>1709</v>
      </c>
      <c r="BC17" s="294"/>
      <c r="BD17" s="294"/>
      <c r="BE17" s="294"/>
      <c r="BF17" s="294"/>
      <c r="BG17" s="294">
        <f t="shared" si="8"/>
        <v>0</v>
      </c>
      <c r="BH17" s="294"/>
      <c r="BI17" s="294" t="s">
        <v>1706</v>
      </c>
      <c r="BJ17" s="295" t="s">
        <v>1710</v>
      </c>
      <c r="BK17" s="425" t="s">
        <v>102</v>
      </c>
      <c r="BL17" s="297"/>
      <c r="BM17" s="297"/>
      <c r="BN17" s="298"/>
      <c r="BO17" s="299"/>
      <c r="BP17" s="300"/>
      <c r="BQ17" s="300"/>
      <c r="BR17" s="300" t="str">
        <f t="shared" si="9"/>
        <v>#REF!</v>
      </c>
      <c r="BS17" s="300"/>
      <c r="BT17" s="300"/>
    </row>
    <row r="18">
      <c r="A18" s="437">
        <v>9.101987092E9</v>
      </c>
      <c r="B18" s="262" t="s">
        <v>1711</v>
      </c>
      <c r="C18" s="264" t="s">
        <v>93</v>
      </c>
      <c r="D18" s="264" t="s">
        <v>93</v>
      </c>
      <c r="E18" s="265" t="s">
        <v>1712</v>
      </c>
      <c r="F18" s="441" t="s">
        <v>129</v>
      </c>
      <c r="G18" s="266" t="s">
        <v>495</v>
      </c>
      <c r="H18" s="302" t="s">
        <v>1713</v>
      </c>
      <c r="I18" s="268" t="s">
        <v>733</v>
      </c>
      <c r="J18" s="269" t="str">
        <f>VLOOKUP(I18,DADOS!B:F,5,0)</f>
        <v>ETEMILSON OLIVEIRA SANTOS - NTS149530</v>
      </c>
      <c r="K18" s="270" t="s">
        <v>131</v>
      </c>
      <c r="L18" s="303" t="s">
        <v>4</v>
      </c>
      <c r="M18" s="262" t="s">
        <v>91</v>
      </c>
      <c r="N18" s="271"/>
      <c r="O18" s="272"/>
      <c r="P18" s="349">
        <v>46006.0</v>
      </c>
      <c r="Q18" s="422">
        <v>46010.0</v>
      </c>
      <c r="R18" s="443">
        <v>46029.0</v>
      </c>
      <c r="S18" s="254" t="s">
        <v>1714</v>
      </c>
      <c r="T18" s="274">
        <v>46054.0</v>
      </c>
      <c r="U18" s="275" t="s">
        <v>93</v>
      </c>
      <c r="V18" s="296" t="s">
        <v>1715</v>
      </c>
      <c r="W18" s="333">
        <v>46080.0</v>
      </c>
      <c r="X18" s="254" t="s">
        <v>1716</v>
      </c>
      <c r="Y18" s="276">
        <v>46037.0</v>
      </c>
      <c r="Z18" s="277" t="s">
        <v>572</v>
      </c>
      <c r="AA18" s="432" t="s">
        <v>1717</v>
      </c>
      <c r="AB18" s="321" t="s">
        <v>1718</v>
      </c>
      <c r="AC18" s="262">
        <v>1.0</v>
      </c>
      <c r="AD18" s="262">
        <v>0.0</v>
      </c>
      <c r="AE18" s="262">
        <v>7.0</v>
      </c>
      <c r="AF18" s="280">
        <v>7.0</v>
      </c>
      <c r="AG18" s="280">
        <v>7.0</v>
      </c>
      <c r="AH18" s="281">
        <f t="shared" si="5"/>
        <v>0</v>
      </c>
      <c r="AI18" s="282">
        <f t="shared" si="6"/>
        <v>1</v>
      </c>
      <c r="AJ18" s="283">
        <v>0.5</v>
      </c>
      <c r="AK18" s="271">
        <v>46028.0</v>
      </c>
      <c r="AL18" s="271">
        <v>46037.0</v>
      </c>
      <c r="AM18" s="284"/>
      <c r="AN18" s="285">
        <v>46049.0</v>
      </c>
      <c r="AO18" s="262" t="s">
        <v>1719</v>
      </c>
      <c r="AP18" s="286" t="s">
        <v>1720</v>
      </c>
      <c r="AQ18" s="118" t="s">
        <v>1721</v>
      </c>
      <c r="AR18" s="286" t="s">
        <v>1722</v>
      </c>
      <c r="AS18" s="287">
        <v>82608.39</v>
      </c>
      <c r="AT18" s="287"/>
      <c r="AU18" s="288">
        <f>VLOOKUP(I18,DADOS!B:C,2,0)</f>
        <v>2303</v>
      </c>
      <c r="AV18" s="289">
        <f t="shared" si="7"/>
        <v>17360</v>
      </c>
      <c r="AW18" s="290"/>
      <c r="AX18" s="290">
        <v>0.28</v>
      </c>
      <c r="AY18" s="265"/>
      <c r="AZ18" s="291"/>
      <c r="BA18" s="292" t="s">
        <v>140</v>
      </c>
      <c r="BB18" s="293" t="s">
        <v>1723</v>
      </c>
      <c r="BC18" s="294"/>
      <c r="BD18" s="294"/>
      <c r="BE18" s="294"/>
      <c r="BF18" s="294"/>
      <c r="BG18" s="294">
        <f t="shared" si="8"/>
        <v>0</v>
      </c>
      <c r="BH18" s="294"/>
      <c r="BI18" s="324" t="s">
        <v>1720</v>
      </c>
      <c r="BJ18" s="295" t="s">
        <v>1724</v>
      </c>
      <c r="BK18" s="444" t="s">
        <v>102</v>
      </c>
      <c r="BL18" s="297"/>
      <c r="BM18" s="297"/>
      <c r="BN18" s="298"/>
      <c r="BO18" s="299" t="s">
        <v>1725</v>
      </c>
      <c r="BP18" s="300"/>
      <c r="BQ18" s="300"/>
      <c r="BR18" s="300" t="str">
        <f t="shared" si="9"/>
        <v>#REF!</v>
      </c>
      <c r="BS18" s="131"/>
      <c r="BT18" s="131"/>
    </row>
    <row r="19">
      <c r="A19" s="261">
        <v>9.102020647E9</v>
      </c>
      <c r="B19" s="262" t="s">
        <v>1726</v>
      </c>
      <c r="C19" s="355" t="s">
        <v>1727</v>
      </c>
      <c r="D19" s="264" t="s">
        <v>1728</v>
      </c>
      <c r="E19" s="265" t="s">
        <v>1729</v>
      </c>
      <c r="F19" s="445" t="s">
        <v>129</v>
      </c>
      <c r="G19" s="266" t="s">
        <v>495</v>
      </c>
      <c r="H19" s="302" t="s">
        <v>1730</v>
      </c>
      <c r="I19" s="268" t="s">
        <v>412</v>
      </c>
      <c r="J19" s="269" t="str">
        <f>VLOOKUP(I19,DADOS!B:F,5,0)</f>
        <v>ETEMILSON OLIVEIRA SANTOS - NTS149530</v>
      </c>
      <c r="K19" s="270" t="s">
        <v>497</v>
      </c>
      <c r="L19" s="262" t="s">
        <v>11</v>
      </c>
      <c r="M19" s="262" t="s">
        <v>559</v>
      </c>
      <c r="N19" s="271"/>
      <c r="O19" s="272"/>
      <c r="P19" s="349">
        <v>46006.0</v>
      </c>
      <c r="Q19" s="422">
        <v>46010.0</v>
      </c>
      <c r="R19" s="443">
        <v>46029.0</v>
      </c>
      <c r="S19" s="254" t="s">
        <v>1731</v>
      </c>
      <c r="T19" s="274">
        <v>46054.0</v>
      </c>
      <c r="U19" s="275" t="s">
        <v>93</v>
      </c>
      <c r="V19" s="255" t="s">
        <v>1732</v>
      </c>
      <c r="W19" s="274">
        <v>46054.0</v>
      </c>
      <c r="X19" s="275" t="s">
        <v>93</v>
      </c>
      <c r="Y19" s="276"/>
      <c r="Z19" s="277"/>
      <c r="AA19" s="432"/>
      <c r="AB19" s="304" t="s">
        <v>1733</v>
      </c>
      <c r="AC19" s="262">
        <v>1.0</v>
      </c>
      <c r="AD19" s="263">
        <v>1.0</v>
      </c>
      <c r="AE19" s="262">
        <v>5.0</v>
      </c>
      <c r="AF19" s="280">
        <v>5.0</v>
      </c>
      <c r="AG19" s="280">
        <v>5.0</v>
      </c>
      <c r="AH19" s="281">
        <f t="shared" si="5"/>
        <v>0</v>
      </c>
      <c r="AI19" s="282">
        <f t="shared" si="6"/>
        <v>1</v>
      </c>
      <c r="AJ19" s="283">
        <v>1.0</v>
      </c>
      <c r="AK19" s="271">
        <v>46028.0</v>
      </c>
      <c r="AL19" s="271">
        <v>46031.0</v>
      </c>
      <c r="AM19" s="284"/>
      <c r="AN19" s="285">
        <v>46043.0</v>
      </c>
      <c r="AO19" s="262" t="s">
        <v>1734</v>
      </c>
      <c r="AP19" s="286" t="s">
        <v>1735</v>
      </c>
      <c r="AQ19" s="118" t="s">
        <v>1736</v>
      </c>
      <c r="AR19" s="286" t="s">
        <v>1737</v>
      </c>
      <c r="AS19" s="287">
        <v>43919.58</v>
      </c>
      <c r="AT19" s="287"/>
      <c r="AU19" s="288">
        <f>VLOOKUP(I19,DADOS!B:C,2,0)</f>
        <v>2332</v>
      </c>
      <c r="AV19" s="289">
        <f t="shared" si="7"/>
        <v>12400</v>
      </c>
      <c r="AW19" s="290">
        <v>0.18</v>
      </c>
      <c r="AX19" s="290"/>
      <c r="AY19" s="265"/>
      <c r="AZ19" s="291"/>
      <c r="BA19" s="292" t="s">
        <v>1738</v>
      </c>
      <c r="BB19" s="293" t="s">
        <v>1739</v>
      </c>
      <c r="BC19" s="294"/>
      <c r="BD19" s="294"/>
      <c r="BE19" s="294"/>
      <c r="BF19" s="294"/>
      <c r="BG19" s="294">
        <f t="shared" si="8"/>
        <v>0</v>
      </c>
      <c r="BH19" s="294"/>
      <c r="BI19" s="324" t="s">
        <v>1735</v>
      </c>
      <c r="BJ19" s="295" t="s">
        <v>1740</v>
      </c>
      <c r="BK19" s="425" t="s">
        <v>102</v>
      </c>
      <c r="BL19" s="297"/>
      <c r="BM19" s="297"/>
      <c r="BN19" s="298"/>
      <c r="BO19" s="299" t="s">
        <v>1741</v>
      </c>
      <c r="BP19" s="300"/>
      <c r="BQ19" s="300"/>
      <c r="BR19" s="300" t="str">
        <f t="shared" si="9"/>
        <v>#REF!</v>
      </c>
      <c r="BS19" s="32"/>
      <c r="BT19" s="32"/>
    </row>
    <row r="20">
      <c r="A20" s="140">
        <v>9.102039471E9</v>
      </c>
      <c r="B20" s="141" t="s">
        <v>1742</v>
      </c>
      <c r="C20" s="142"/>
      <c r="D20" s="142"/>
      <c r="E20" s="172" t="s">
        <v>1743</v>
      </c>
      <c r="F20" s="446" t="s">
        <v>129</v>
      </c>
      <c r="G20" s="145" t="s">
        <v>162</v>
      </c>
      <c r="H20" s="146" t="s">
        <v>1744</v>
      </c>
      <c r="I20" s="147" t="s">
        <v>733</v>
      </c>
      <c r="J20" s="148" t="str">
        <f>VLOOKUP(I20,DADOS!B:F,5,0)</f>
        <v>ETEMILSON OLIVEIRA SANTOS - NTS149530</v>
      </c>
      <c r="K20" s="149" t="s">
        <v>497</v>
      </c>
      <c r="L20" s="141" t="s">
        <v>11</v>
      </c>
      <c r="M20" s="141" t="s">
        <v>91</v>
      </c>
      <c r="N20" s="150">
        <v>46008.0</v>
      </c>
      <c r="O20" s="151" t="s">
        <v>672</v>
      </c>
      <c r="P20" s="152" t="s">
        <v>673</v>
      </c>
      <c r="Q20" s="141"/>
      <c r="R20" s="150"/>
      <c r="S20" s="153" t="s">
        <v>93</v>
      </c>
      <c r="T20" s="153" t="s">
        <v>93</v>
      </c>
      <c r="U20" s="153" t="s">
        <v>93</v>
      </c>
      <c r="V20" s="155"/>
      <c r="W20" s="156"/>
      <c r="X20" s="153" t="s">
        <v>93</v>
      </c>
      <c r="Y20" s="157"/>
      <c r="Z20" s="158"/>
      <c r="AA20" s="179"/>
      <c r="AB20" s="160"/>
      <c r="AC20" s="141">
        <v>1.0</v>
      </c>
      <c r="AD20" s="141"/>
      <c r="AE20" s="141">
        <v>3.0</v>
      </c>
      <c r="AF20" s="161"/>
      <c r="AG20" s="161"/>
      <c r="AH20" s="162">
        <f t="shared" si="5"/>
        <v>3</v>
      </c>
      <c r="AI20" s="163">
        <f t="shared" si="6"/>
        <v>0</v>
      </c>
      <c r="AJ20" s="189"/>
      <c r="AK20" s="150"/>
      <c r="AL20" s="150"/>
      <c r="AM20" s="164"/>
      <c r="AN20" s="428">
        <v>46052.0</v>
      </c>
      <c r="AO20" s="141"/>
      <c r="AP20" s="167" t="s">
        <v>1676</v>
      </c>
      <c r="AQ20" s="191">
        <v>-11.308754</v>
      </c>
      <c r="AR20" s="166" t="s">
        <v>1677</v>
      </c>
      <c r="AS20" s="168">
        <v>16183.92</v>
      </c>
      <c r="AT20" s="168"/>
      <c r="AU20" s="169">
        <f>VLOOKUP(I20,DADOS!B:C,2,0)</f>
        <v>2303</v>
      </c>
      <c r="AV20" s="170">
        <f t="shared" si="7"/>
        <v>7440</v>
      </c>
      <c r="AW20" s="171"/>
      <c r="AX20" s="171"/>
      <c r="AY20" s="172"/>
      <c r="AZ20" s="173"/>
      <c r="BA20" s="174" t="s">
        <v>140</v>
      </c>
      <c r="BB20" s="175" t="s">
        <v>1745</v>
      </c>
      <c r="BC20" s="176"/>
      <c r="BD20" s="176"/>
      <c r="BE20" s="176"/>
      <c r="BF20" s="176"/>
      <c r="BG20" s="177">
        <f t="shared" si="8"/>
        <v>0</v>
      </c>
      <c r="BH20" s="176"/>
      <c r="BI20" s="167" t="s">
        <v>1676</v>
      </c>
      <c r="BJ20" s="344" t="s">
        <v>1746</v>
      </c>
      <c r="BK20" s="447" t="s">
        <v>102</v>
      </c>
      <c r="BL20" s="180"/>
      <c r="BM20" s="180"/>
      <c r="BN20" s="181"/>
      <c r="BO20" s="130"/>
      <c r="BP20" s="32"/>
      <c r="BQ20" s="131"/>
      <c r="BR20" s="300" t="str">
        <f t="shared" si="9"/>
        <v>#REF!</v>
      </c>
      <c r="BS20" s="32"/>
      <c r="BT20" s="32"/>
    </row>
    <row r="21">
      <c r="A21" s="261">
        <v>9.102149049E9</v>
      </c>
      <c r="B21" s="262" t="s">
        <v>1747</v>
      </c>
      <c r="C21" s="264" t="s">
        <v>93</v>
      </c>
      <c r="D21" s="264" t="s">
        <v>93</v>
      </c>
      <c r="E21" s="265" t="s">
        <v>1748</v>
      </c>
      <c r="F21" s="442" t="s">
        <v>129</v>
      </c>
      <c r="G21" s="266" t="s">
        <v>495</v>
      </c>
      <c r="H21" s="302" t="s">
        <v>1700</v>
      </c>
      <c r="I21" s="268" t="s">
        <v>412</v>
      </c>
      <c r="J21" s="269" t="str">
        <f>VLOOKUP(I21,DADOS!B:F,5,0)</f>
        <v>ETEMILSON OLIVEIRA SANTOS - NTS149530</v>
      </c>
      <c r="K21" s="270" t="s">
        <v>497</v>
      </c>
      <c r="L21" s="303" t="s">
        <v>4</v>
      </c>
      <c r="M21" s="262" t="s">
        <v>559</v>
      </c>
      <c r="N21" s="271"/>
      <c r="O21" s="272"/>
      <c r="P21" s="349">
        <v>46006.0</v>
      </c>
      <c r="Q21" s="422">
        <v>46010.0</v>
      </c>
      <c r="R21" s="443">
        <v>46029.0</v>
      </c>
      <c r="S21" s="275" t="s">
        <v>93</v>
      </c>
      <c r="T21" s="275" t="s">
        <v>93</v>
      </c>
      <c r="U21" s="275" t="s">
        <v>93</v>
      </c>
      <c r="V21" s="255" t="s">
        <v>1749</v>
      </c>
      <c r="W21" s="333">
        <v>46054.0</v>
      </c>
      <c r="X21" s="275" t="s">
        <v>93</v>
      </c>
      <c r="Y21" s="276"/>
      <c r="Z21" s="277"/>
      <c r="AA21" s="432"/>
      <c r="AB21" s="304" t="s">
        <v>1750</v>
      </c>
      <c r="AC21" s="262">
        <v>1.0</v>
      </c>
      <c r="AD21" s="262">
        <v>0.0</v>
      </c>
      <c r="AE21" s="262">
        <v>3.0</v>
      </c>
      <c r="AF21" s="280">
        <v>3.0</v>
      </c>
      <c r="AG21" s="280">
        <v>3.0</v>
      </c>
      <c r="AH21" s="281">
        <f t="shared" si="5"/>
        <v>0</v>
      </c>
      <c r="AI21" s="282">
        <f t="shared" si="6"/>
        <v>1</v>
      </c>
      <c r="AJ21" s="283">
        <v>1.0</v>
      </c>
      <c r="AK21" s="271">
        <v>46028.0</v>
      </c>
      <c r="AL21" s="271">
        <v>46031.0</v>
      </c>
      <c r="AM21" s="284"/>
      <c r="AN21" s="285">
        <v>46035.0</v>
      </c>
      <c r="AO21" s="262" t="s">
        <v>1751</v>
      </c>
      <c r="AP21" s="286" t="s">
        <v>1752</v>
      </c>
      <c r="AQ21" s="118" t="s">
        <v>1753</v>
      </c>
      <c r="AR21" s="286" t="s">
        <v>1754</v>
      </c>
      <c r="AS21" s="287">
        <v>18752.08</v>
      </c>
      <c r="AT21" s="287"/>
      <c r="AU21" s="288">
        <f>VLOOKUP(I21,DADOS!B:C,2,0)</f>
        <v>2332</v>
      </c>
      <c r="AV21" s="289">
        <f t="shared" si="7"/>
        <v>7440</v>
      </c>
      <c r="AW21" s="290">
        <v>0.22</v>
      </c>
      <c r="AX21" s="290"/>
      <c r="AY21" s="265"/>
      <c r="AZ21" s="291"/>
      <c r="BA21" s="292" t="s">
        <v>140</v>
      </c>
      <c r="BB21" s="293" t="s">
        <v>1755</v>
      </c>
      <c r="BC21" s="294"/>
      <c r="BD21" s="294"/>
      <c r="BE21" s="294"/>
      <c r="BF21" s="294"/>
      <c r="BG21" s="294">
        <f t="shared" si="8"/>
        <v>0</v>
      </c>
      <c r="BH21" s="294"/>
      <c r="BI21" s="324" t="s">
        <v>1752</v>
      </c>
      <c r="BJ21" s="424" t="s">
        <v>1756</v>
      </c>
      <c r="BK21" s="317" t="s">
        <v>102</v>
      </c>
      <c r="BL21" s="129"/>
      <c r="BM21" s="129"/>
      <c r="BN21" s="36"/>
      <c r="BO21" s="130"/>
      <c r="BP21" s="32"/>
      <c r="BQ21" s="32"/>
      <c r="BR21" s="300" t="str">
        <f t="shared" si="9"/>
        <v>#REF!</v>
      </c>
      <c r="BS21" s="300"/>
      <c r="BT21" s="300"/>
    </row>
    <row r="22">
      <c r="A22" s="261">
        <v>9.10214719E9</v>
      </c>
      <c r="B22" s="262" t="s">
        <v>1757</v>
      </c>
      <c r="C22" s="142" t="s">
        <v>1758</v>
      </c>
      <c r="D22" s="142" t="s">
        <v>1759</v>
      </c>
      <c r="E22" s="265" t="s">
        <v>1760</v>
      </c>
      <c r="F22" s="445" t="s">
        <v>129</v>
      </c>
      <c r="G22" s="266" t="s">
        <v>495</v>
      </c>
      <c r="H22" s="302" t="s">
        <v>1761</v>
      </c>
      <c r="I22" s="268" t="s">
        <v>805</v>
      </c>
      <c r="J22" s="269" t="str">
        <f>VLOOKUP(I22,DADOS!B:F,5,0)</f>
        <v>ETEMILSON OLIVEIRA SANTOS - NTS149530</v>
      </c>
      <c r="K22" s="270" t="s">
        <v>497</v>
      </c>
      <c r="L22" s="262" t="s">
        <v>1285</v>
      </c>
      <c r="M22" s="262" t="s">
        <v>559</v>
      </c>
      <c r="N22" s="262" t="s">
        <v>1609</v>
      </c>
      <c r="O22" s="272"/>
      <c r="P22" s="349">
        <v>46006.0</v>
      </c>
      <c r="Q22" s="422">
        <v>46010.0</v>
      </c>
      <c r="R22" s="443">
        <v>46013.0</v>
      </c>
      <c r="S22" s="275" t="s">
        <v>93</v>
      </c>
      <c r="T22" s="275" t="s">
        <v>93</v>
      </c>
      <c r="U22" s="275" t="s">
        <v>93</v>
      </c>
      <c r="V22" s="255" t="s">
        <v>1762</v>
      </c>
      <c r="W22" s="333">
        <v>46054.0</v>
      </c>
      <c r="X22" s="275" t="s">
        <v>93</v>
      </c>
      <c r="Y22" s="276"/>
      <c r="Z22" s="277"/>
      <c r="AA22" s="432"/>
      <c r="AB22" s="304" t="s">
        <v>1763</v>
      </c>
      <c r="AC22" s="262">
        <v>1.0</v>
      </c>
      <c r="AD22" s="262">
        <v>0.0</v>
      </c>
      <c r="AE22" s="262">
        <v>2.0</v>
      </c>
      <c r="AF22" s="280">
        <v>2.0</v>
      </c>
      <c r="AG22" s="280">
        <v>2.0</v>
      </c>
      <c r="AH22" s="281">
        <f t="shared" si="5"/>
        <v>0</v>
      </c>
      <c r="AI22" s="282">
        <f t="shared" si="6"/>
        <v>1</v>
      </c>
      <c r="AJ22" s="283">
        <v>1.0</v>
      </c>
      <c r="AK22" s="271">
        <v>46030.0</v>
      </c>
      <c r="AL22" s="271">
        <v>46034.0</v>
      </c>
      <c r="AM22" s="284"/>
      <c r="AN22" s="285">
        <v>46035.0</v>
      </c>
      <c r="AO22" s="262" t="s">
        <v>1764</v>
      </c>
      <c r="AP22" s="286" t="s">
        <v>1765</v>
      </c>
      <c r="AQ22" s="118" t="s">
        <v>1766</v>
      </c>
      <c r="AR22" s="286" t="s">
        <v>1767</v>
      </c>
      <c r="AS22" s="287">
        <v>15812.03</v>
      </c>
      <c r="AT22" s="287"/>
      <c r="AU22" s="288">
        <f>VLOOKUP(I22,DADOS!B:C,2,0)</f>
        <v>2302</v>
      </c>
      <c r="AV22" s="289">
        <f t="shared" si="7"/>
        <v>4960</v>
      </c>
      <c r="AW22" s="290">
        <v>0.11</v>
      </c>
      <c r="AX22" s="290"/>
      <c r="AY22" s="265"/>
      <c r="AZ22" s="291"/>
      <c r="BA22" s="292" t="s">
        <v>140</v>
      </c>
      <c r="BB22" s="293" t="s">
        <v>1768</v>
      </c>
      <c r="BC22" s="294"/>
      <c r="BD22" s="294"/>
      <c r="BE22" s="294"/>
      <c r="BF22" s="294"/>
      <c r="BG22" s="294">
        <f t="shared" si="8"/>
        <v>0</v>
      </c>
      <c r="BH22" s="294"/>
      <c r="BI22" s="324" t="s">
        <v>1765</v>
      </c>
      <c r="BJ22" s="424" t="s">
        <v>1769</v>
      </c>
      <c r="BK22" s="317" t="s">
        <v>102</v>
      </c>
      <c r="BL22" s="129"/>
      <c r="BM22" s="129"/>
      <c r="BN22" s="36"/>
      <c r="BO22" s="130"/>
      <c r="BP22" s="32"/>
      <c r="BQ22" s="32"/>
      <c r="BR22" s="300" t="str">
        <f t="shared" si="9"/>
        <v>#REF!</v>
      </c>
      <c r="BS22" s="32"/>
      <c r="BT22" s="32"/>
    </row>
    <row r="23">
      <c r="A23" s="140">
        <v>9.102146204E9</v>
      </c>
      <c r="B23" s="141" t="s">
        <v>207</v>
      </c>
      <c r="C23" s="142"/>
      <c r="D23" s="142"/>
      <c r="E23" s="172" t="s">
        <v>208</v>
      </c>
      <c r="F23" s="448" t="s">
        <v>129</v>
      </c>
      <c r="G23" s="145" t="s">
        <v>124</v>
      </c>
      <c r="H23" s="186" t="s">
        <v>1770</v>
      </c>
      <c r="I23" s="147" t="s">
        <v>805</v>
      </c>
      <c r="J23" s="148" t="str">
        <f>VLOOKUP(I23,DADOS!B:F,5,0)</f>
        <v>ETEMILSON OLIVEIRA SANTOS - NTS149530</v>
      </c>
      <c r="K23" s="149" t="s">
        <v>497</v>
      </c>
      <c r="L23" s="141" t="s">
        <v>16</v>
      </c>
      <c r="M23" s="141" t="s">
        <v>91</v>
      </c>
      <c r="N23" s="150"/>
      <c r="O23" s="151"/>
      <c r="P23" s="152" t="s">
        <v>1771</v>
      </c>
      <c r="Q23" s="150"/>
      <c r="R23" s="150"/>
      <c r="S23" s="153" t="s">
        <v>93</v>
      </c>
      <c r="T23" s="153" t="s">
        <v>93</v>
      </c>
      <c r="U23" s="153" t="s">
        <v>93</v>
      </c>
      <c r="V23" s="155" t="str">
        <f>X23</f>
        <v/>
      </c>
      <c r="W23" s="156"/>
      <c r="X23" s="153"/>
      <c r="Y23" s="157"/>
      <c r="Z23" s="158"/>
      <c r="AA23" s="179"/>
      <c r="AB23" s="449" t="s">
        <v>1772</v>
      </c>
      <c r="AC23" s="141">
        <v>1.0</v>
      </c>
      <c r="AD23" s="141"/>
      <c r="AE23" s="141">
        <v>11.0</v>
      </c>
      <c r="AF23" s="161"/>
      <c r="AG23" s="161"/>
      <c r="AH23" s="162">
        <f t="shared" si="5"/>
        <v>11</v>
      </c>
      <c r="AI23" s="163">
        <f t="shared" si="6"/>
        <v>0</v>
      </c>
      <c r="AJ23" s="189"/>
      <c r="AK23" s="150"/>
      <c r="AL23" s="150"/>
      <c r="AM23" s="164"/>
      <c r="AN23" s="428">
        <v>46052.0</v>
      </c>
      <c r="AO23" s="141"/>
      <c r="AP23" s="166" t="s">
        <v>1485</v>
      </c>
      <c r="AQ23" s="191" t="s">
        <v>1773</v>
      </c>
      <c r="AR23" s="166" t="s">
        <v>1487</v>
      </c>
      <c r="AS23" s="168">
        <v>88011.38</v>
      </c>
      <c r="AT23" s="168"/>
      <c r="AU23" s="169">
        <f>VLOOKUP(I23,DADOS!B:C,2,0)</f>
        <v>2302</v>
      </c>
      <c r="AV23" s="170">
        <f t="shared" si="7"/>
        <v>27280</v>
      </c>
      <c r="AW23" s="171"/>
      <c r="AX23" s="171"/>
      <c r="AY23" s="172"/>
      <c r="AZ23" s="173"/>
      <c r="BA23" s="174" t="s">
        <v>156</v>
      </c>
      <c r="BB23" s="175" t="s">
        <v>1488</v>
      </c>
      <c r="BC23" s="176"/>
      <c r="BD23" s="176"/>
      <c r="BE23" s="176"/>
      <c r="BF23" s="176"/>
      <c r="BG23" s="176">
        <f t="shared" si="8"/>
        <v>0</v>
      </c>
      <c r="BH23" s="176"/>
      <c r="BI23" s="343" t="s">
        <v>1485</v>
      </c>
      <c r="BJ23" s="178" t="s">
        <v>1489</v>
      </c>
      <c r="BK23" s="179" t="s">
        <v>102</v>
      </c>
      <c r="BL23" s="297"/>
      <c r="BM23" s="297"/>
      <c r="BN23" s="298"/>
      <c r="BO23" s="299"/>
      <c r="BP23" s="300"/>
      <c r="BQ23" s="300"/>
      <c r="BR23" s="300" t="str">
        <f t="shared" si="9"/>
        <v>#REF!</v>
      </c>
      <c r="BS23" s="300"/>
      <c r="BT23" s="300"/>
    </row>
    <row r="24">
      <c r="A24" s="437">
        <v>9.102322992E9</v>
      </c>
      <c r="B24" s="262" t="s">
        <v>1774</v>
      </c>
      <c r="C24" s="264" t="s">
        <v>93</v>
      </c>
      <c r="D24" s="264" t="s">
        <v>93</v>
      </c>
      <c r="E24" s="265" t="s">
        <v>1775</v>
      </c>
      <c r="F24" s="450" t="s">
        <v>129</v>
      </c>
      <c r="G24" s="266" t="s">
        <v>495</v>
      </c>
      <c r="H24" s="302"/>
      <c r="I24" s="268" t="s">
        <v>805</v>
      </c>
      <c r="J24" s="269" t="str">
        <f>VLOOKUP(I24,DADOS!B:F,5,0)</f>
        <v>ETEMILSON OLIVEIRA SANTOS - NTS149530</v>
      </c>
      <c r="K24" s="270" t="s">
        <v>131</v>
      </c>
      <c r="L24" s="303" t="s">
        <v>4</v>
      </c>
      <c r="M24" s="262" t="s">
        <v>105</v>
      </c>
      <c r="N24" s="271"/>
      <c r="O24" s="272"/>
      <c r="P24" s="349">
        <v>46006.0</v>
      </c>
      <c r="Q24" s="422">
        <v>46010.0</v>
      </c>
      <c r="R24" s="271">
        <v>46038.0</v>
      </c>
      <c r="S24" s="254" t="s">
        <v>1776</v>
      </c>
      <c r="T24" s="274">
        <v>46054.0</v>
      </c>
      <c r="U24" s="275" t="s">
        <v>93</v>
      </c>
      <c r="V24" s="255" t="str">
        <f>S24</f>
        <v>2025-162653</v>
      </c>
      <c r="W24" s="274">
        <v>46054.0</v>
      </c>
      <c r="X24" s="275" t="s">
        <v>93</v>
      </c>
      <c r="Y24" s="276"/>
      <c r="Z24" s="277"/>
      <c r="AA24" s="440"/>
      <c r="AB24" s="304" t="s">
        <v>1777</v>
      </c>
      <c r="AC24" s="262">
        <v>1.0</v>
      </c>
      <c r="AD24" s="262">
        <v>0.0</v>
      </c>
      <c r="AE24" s="262">
        <v>4.0</v>
      </c>
      <c r="AF24" s="280">
        <v>4.0</v>
      </c>
      <c r="AG24" s="280">
        <v>4.0</v>
      </c>
      <c r="AH24" s="281">
        <f t="shared" si="5"/>
        <v>0</v>
      </c>
      <c r="AI24" s="282">
        <f t="shared" si="6"/>
        <v>1</v>
      </c>
      <c r="AJ24" s="283">
        <v>0.5</v>
      </c>
      <c r="AK24" s="271">
        <v>46028.0</v>
      </c>
      <c r="AL24" s="271">
        <v>46034.0</v>
      </c>
      <c r="AM24" s="284"/>
      <c r="AN24" s="285">
        <v>46051.0</v>
      </c>
      <c r="AO24" s="262" t="s">
        <v>1778</v>
      </c>
      <c r="AP24" s="286" t="s">
        <v>1779</v>
      </c>
      <c r="AQ24" s="118" t="s">
        <v>1780</v>
      </c>
      <c r="AR24" s="451" t="s">
        <v>1781</v>
      </c>
      <c r="AS24" s="287">
        <v>49838.22</v>
      </c>
      <c r="AT24" s="287"/>
      <c r="AU24" s="288">
        <f>VLOOKUP(I24,DADOS!B:C,2,0)</f>
        <v>2302</v>
      </c>
      <c r="AV24" s="289">
        <f t="shared" si="7"/>
        <v>9920</v>
      </c>
      <c r="AW24" s="290">
        <v>0.05</v>
      </c>
      <c r="AX24" s="290"/>
      <c r="AY24" s="265"/>
      <c r="AZ24" s="291"/>
      <c r="BA24" s="292" t="s">
        <v>1782</v>
      </c>
      <c r="BB24" s="293" t="s">
        <v>1783</v>
      </c>
      <c r="BC24" s="294"/>
      <c r="BD24" s="294"/>
      <c r="BE24" s="294"/>
      <c r="BF24" s="294"/>
      <c r="BG24" s="294">
        <f t="shared" si="8"/>
        <v>0</v>
      </c>
      <c r="BH24" s="294"/>
      <c r="BI24" s="324" t="s">
        <v>1779</v>
      </c>
      <c r="BJ24" s="295" t="s">
        <v>1784</v>
      </c>
      <c r="BK24" s="425" t="s">
        <v>102</v>
      </c>
      <c r="BL24" s="297"/>
      <c r="BM24" s="297"/>
      <c r="BN24" s="298"/>
      <c r="BO24" s="299" t="s">
        <v>1785</v>
      </c>
      <c r="BP24" s="300"/>
      <c r="BQ24" s="300"/>
      <c r="BR24" s="300" t="str">
        <f t="shared" si="9"/>
        <v>#REF!</v>
      </c>
      <c r="BS24" s="300"/>
      <c r="BT24" s="300"/>
    </row>
    <row r="25">
      <c r="A25" s="261">
        <v>9.102350612E9</v>
      </c>
      <c r="B25" s="262" t="s">
        <v>1786</v>
      </c>
      <c r="C25" s="264" t="s">
        <v>93</v>
      </c>
      <c r="D25" s="264" t="s">
        <v>93</v>
      </c>
      <c r="E25" s="265" t="s">
        <v>1787</v>
      </c>
      <c r="F25" s="441" t="s">
        <v>129</v>
      </c>
      <c r="G25" s="266" t="s">
        <v>495</v>
      </c>
      <c r="H25" s="302" t="s">
        <v>1788</v>
      </c>
      <c r="I25" s="268" t="s">
        <v>496</v>
      </c>
      <c r="J25" s="269" t="str">
        <f>VLOOKUP(I25,DADOS!B:F,5,0)</f>
        <v>ETEMILSON OLIVEIRA SANTOS - NTS149530</v>
      </c>
      <c r="K25" s="270" t="s">
        <v>497</v>
      </c>
      <c r="L25" s="262" t="s">
        <v>444</v>
      </c>
      <c r="M25" s="262" t="s">
        <v>105</v>
      </c>
      <c r="N25" s="271"/>
      <c r="O25" s="272"/>
      <c r="P25" s="349">
        <v>46006.0</v>
      </c>
      <c r="Q25" s="422">
        <v>46010.0</v>
      </c>
      <c r="R25" s="443">
        <v>46029.0</v>
      </c>
      <c r="S25" s="275" t="s">
        <v>93</v>
      </c>
      <c r="T25" s="275" t="s">
        <v>93</v>
      </c>
      <c r="U25" s="275" t="s">
        <v>93</v>
      </c>
      <c r="V25" s="296" t="s">
        <v>1789</v>
      </c>
      <c r="W25" s="333">
        <v>46058.0</v>
      </c>
      <c r="X25" s="275" t="s">
        <v>93</v>
      </c>
      <c r="Y25" s="276"/>
      <c r="Z25" s="277"/>
      <c r="AA25" s="440"/>
      <c r="AB25" s="304" t="s">
        <v>1790</v>
      </c>
      <c r="AC25" s="262">
        <v>1.0</v>
      </c>
      <c r="AD25" s="262">
        <v>0.0</v>
      </c>
      <c r="AE25" s="262">
        <v>1.0</v>
      </c>
      <c r="AF25" s="280">
        <v>1.0</v>
      </c>
      <c r="AG25" s="280">
        <v>1.0</v>
      </c>
      <c r="AH25" s="281">
        <f t="shared" si="5"/>
        <v>0</v>
      </c>
      <c r="AI25" s="282">
        <f t="shared" si="6"/>
        <v>1</v>
      </c>
      <c r="AJ25" s="283">
        <v>1.0</v>
      </c>
      <c r="AK25" s="271">
        <v>46028.0</v>
      </c>
      <c r="AL25" s="271">
        <v>46031.0</v>
      </c>
      <c r="AM25" s="284"/>
      <c r="AN25" s="285">
        <v>46027.0</v>
      </c>
      <c r="AO25" s="262" t="s">
        <v>1791</v>
      </c>
      <c r="AP25" s="286" t="s">
        <v>1792</v>
      </c>
      <c r="AQ25" s="325" t="s">
        <v>1793</v>
      </c>
      <c r="AR25" s="286" t="s">
        <v>1794</v>
      </c>
      <c r="AS25" s="287">
        <v>8226.64</v>
      </c>
      <c r="AT25" s="287"/>
      <c r="AU25" s="288">
        <f>VLOOKUP(I25,DADOS!B:C,2,0)</f>
        <v>2300</v>
      </c>
      <c r="AV25" s="289">
        <f t="shared" si="7"/>
        <v>2480</v>
      </c>
      <c r="AW25" s="290">
        <v>0.05</v>
      </c>
      <c r="AX25" s="290"/>
      <c r="AY25" s="265"/>
      <c r="AZ25" s="291"/>
      <c r="BA25" s="292" t="s">
        <v>1795</v>
      </c>
      <c r="BB25" s="293" t="s">
        <v>1796</v>
      </c>
      <c r="BC25" s="294"/>
      <c r="BD25" s="294"/>
      <c r="BE25" s="294"/>
      <c r="BF25" s="294"/>
      <c r="BG25" s="294">
        <f t="shared" si="8"/>
        <v>0</v>
      </c>
      <c r="BH25" s="294"/>
      <c r="BI25" s="324" t="s">
        <v>1792</v>
      </c>
      <c r="BJ25" s="424" t="s">
        <v>1797</v>
      </c>
      <c r="BK25" s="452" t="s">
        <v>102</v>
      </c>
      <c r="BL25" s="129"/>
      <c r="BM25" s="129"/>
      <c r="BN25" s="36"/>
      <c r="BO25" s="130"/>
      <c r="BP25" s="32"/>
      <c r="BQ25" s="32"/>
      <c r="BR25" s="300" t="str">
        <f t="shared" si="9"/>
        <v>#REF!</v>
      </c>
      <c r="BS25" s="300"/>
      <c r="BT25" s="300"/>
    </row>
    <row r="26">
      <c r="A26" s="261">
        <v>9.102347203E9</v>
      </c>
      <c r="B26" s="262" t="s">
        <v>1798</v>
      </c>
      <c r="C26" s="453" t="s">
        <v>93</v>
      </c>
      <c r="D26" s="453" t="s">
        <v>93</v>
      </c>
      <c r="E26" s="265" t="s">
        <v>1799</v>
      </c>
      <c r="F26" s="305" t="s">
        <v>129</v>
      </c>
      <c r="G26" s="266" t="s">
        <v>495</v>
      </c>
      <c r="H26" s="302"/>
      <c r="I26" s="268" t="s">
        <v>496</v>
      </c>
      <c r="J26" s="269" t="str">
        <f>VLOOKUP(I26,DADOS!B:F,5,0)</f>
        <v>ETEMILSON OLIVEIRA SANTOS - NTS149530</v>
      </c>
      <c r="K26" s="270" t="s">
        <v>497</v>
      </c>
      <c r="L26" s="303" t="s">
        <v>4</v>
      </c>
      <c r="M26" s="262" t="s">
        <v>105</v>
      </c>
      <c r="N26" s="271"/>
      <c r="O26" s="272"/>
      <c r="P26" s="349">
        <v>46006.0</v>
      </c>
      <c r="Q26" s="422">
        <v>46010.0</v>
      </c>
      <c r="R26" s="271">
        <v>46030.0</v>
      </c>
      <c r="S26" s="275" t="s">
        <v>93</v>
      </c>
      <c r="T26" s="275" t="s">
        <v>93</v>
      </c>
      <c r="U26" s="275" t="s">
        <v>93</v>
      </c>
      <c r="V26" s="255" t="s">
        <v>1800</v>
      </c>
      <c r="W26" s="333">
        <v>46060.0</v>
      </c>
      <c r="X26" s="275" t="s">
        <v>93</v>
      </c>
      <c r="Y26" s="276"/>
      <c r="Z26" s="277" t="s">
        <v>162</v>
      </c>
      <c r="AA26" s="440"/>
      <c r="AB26" s="304" t="s">
        <v>93</v>
      </c>
      <c r="AC26" s="262">
        <v>0.0</v>
      </c>
      <c r="AD26" s="262">
        <v>0.0</v>
      </c>
      <c r="AE26" s="262">
        <f>1+1</f>
        <v>2</v>
      </c>
      <c r="AF26" s="280">
        <v>2.0</v>
      </c>
      <c r="AG26" s="280">
        <v>2.0</v>
      </c>
      <c r="AH26" s="281">
        <f t="shared" si="5"/>
        <v>0</v>
      </c>
      <c r="AI26" s="282">
        <f t="shared" si="6"/>
        <v>1</v>
      </c>
      <c r="AJ26" s="283">
        <v>1.0</v>
      </c>
      <c r="AK26" s="271">
        <v>46030.0</v>
      </c>
      <c r="AL26" s="271">
        <v>46030.0</v>
      </c>
      <c r="AM26" s="284"/>
      <c r="AN26" s="285">
        <v>46030.0</v>
      </c>
      <c r="AO26" s="262" t="s">
        <v>1801</v>
      </c>
      <c r="AP26" s="286" t="s">
        <v>1802</v>
      </c>
      <c r="AQ26" s="325" t="s">
        <v>1803</v>
      </c>
      <c r="AR26" s="286" t="s">
        <v>1804</v>
      </c>
      <c r="AS26" s="287">
        <v>23487.47</v>
      </c>
      <c r="AT26" s="287"/>
      <c r="AU26" s="288">
        <f>VLOOKUP(I26,DADOS!B:C,2,0)</f>
        <v>2300</v>
      </c>
      <c r="AV26" s="289">
        <f t="shared" si="7"/>
        <v>4960</v>
      </c>
      <c r="AW26" s="290" t="s">
        <v>93</v>
      </c>
      <c r="AX26" s="290" t="s">
        <v>93</v>
      </c>
      <c r="AY26" s="265"/>
      <c r="AZ26" s="291"/>
      <c r="BA26" s="292" t="s">
        <v>140</v>
      </c>
      <c r="BB26" s="293" t="s">
        <v>1805</v>
      </c>
      <c r="BC26" s="294"/>
      <c r="BD26" s="294"/>
      <c r="BE26" s="294"/>
      <c r="BF26" s="294"/>
      <c r="BG26" s="334">
        <f t="shared" si="8"/>
        <v>0</v>
      </c>
      <c r="BH26" s="294"/>
      <c r="BI26" s="286" t="s">
        <v>1802</v>
      </c>
      <c r="BJ26" s="433" t="s">
        <v>1806</v>
      </c>
      <c r="BK26" s="452" t="s">
        <v>102</v>
      </c>
      <c r="BL26" s="297"/>
      <c r="BM26" s="297"/>
      <c r="BN26" s="298"/>
      <c r="BO26" s="299"/>
      <c r="BP26" s="300"/>
      <c r="BQ26" s="300"/>
      <c r="BR26" s="300" t="str">
        <f t="shared" si="9"/>
        <v>#REF!</v>
      </c>
      <c r="BS26" s="300"/>
      <c r="BT26" s="300"/>
    </row>
    <row r="27">
      <c r="A27" s="261">
        <v>9.102346261E9</v>
      </c>
      <c r="B27" s="262" t="s">
        <v>1807</v>
      </c>
      <c r="C27" s="264" t="s">
        <v>93</v>
      </c>
      <c r="D27" s="264" t="s">
        <v>93</v>
      </c>
      <c r="E27" s="265" t="s">
        <v>1808</v>
      </c>
      <c r="F27" s="305" t="s">
        <v>129</v>
      </c>
      <c r="G27" s="266" t="s">
        <v>495</v>
      </c>
      <c r="H27" s="302" t="s">
        <v>1788</v>
      </c>
      <c r="I27" s="268" t="s">
        <v>496</v>
      </c>
      <c r="J27" s="269" t="str">
        <f>VLOOKUP(I27,DADOS!B:F,5,0)</f>
        <v>ETEMILSON OLIVEIRA SANTOS - NTS149530</v>
      </c>
      <c r="K27" s="270" t="s">
        <v>497</v>
      </c>
      <c r="L27" s="262" t="s">
        <v>444</v>
      </c>
      <c r="M27" s="262" t="s">
        <v>105</v>
      </c>
      <c r="N27" s="271"/>
      <c r="O27" s="272"/>
      <c r="P27" s="349">
        <v>46007.0</v>
      </c>
      <c r="Q27" s="422">
        <v>46010.0</v>
      </c>
      <c r="R27" s="443">
        <v>46030.0</v>
      </c>
      <c r="S27" s="275" t="s">
        <v>93</v>
      </c>
      <c r="T27" s="275" t="s">
        <v>93</v>
      </c>
      <c r="U27" s="275" t="s">
        <v>93</v>
      </c>
      <c r="V27" s="296" t="s">
        <v>1809</v>
      </c>
      <c r="W27" s="333">
        <v>46054.0</v>
      </c>
      <c r="X27" s="275" t="s">
        <v>93</v>
      </c>
      <c r="Y27" s="276"/>
      <c r="Z27" s="277"/>
      <c r="AA27" s="432"/>
      <c r="AB27" s="304" t="s">
        <v>1810</v>
      </c>
      <c r="AC27" s="262">
        <v>1.0</v>
      </c>
      <c r="AD27" s="262">
        <v>0.0</v>
      </c>
      <c r="AE27" s="262">
        <v>2.0</v>
      </c>
      <c r="AF27" s="280">
        <v>2.0</v>
      </c>
      <c r="AG27" s="280">
        <v>2.0</v>
      </c>
      <c r="AH27" s="281">
        <f t="shared" si="5"/>
        <v>0</v>
      </c>
      <c r="AI27" s="282">
        <f t="shared" si="6"/>
        <v>1</v>
      </c>
      <c r="AJ27" s="283">
        <v>1.0</v>
      </c>
      <c r="AK27" s="271">
        <v>46029.0</v>
      </c>
      <c r="AL27" s="271">
        <v>46031.0</v>
      </c>
      <c r="AM27" s="284"/>
      <c r="AN27" s="285">
        <v>46027.0</v>
      </c>
      <c r="AO27" s="262" t="s">
        <v>1811</v>
      </c>
      <c r="AP27" s="286" t="s">
        <v>1812</v>
      </c>
      <c r="AQ27" s="325" t="s">
        <v>1813</v>
      </c>
      <c r="AR27" s="286" t="s">
        <v>1814</v>
      </c>
      <c r="AS27" s="287">
        <v>16771.79</v>
      </c>
      <c r="AT27" s="287"/>
      <c r="AU27" s="288">
        <f>VLOOKUP(I27,DADOS!B:C,2,0)</f>
        <v>2300</v>
      </c>
      <c r="AV27" s="289">
        <f t="shared" si="7"/>
        <v>4960</v>
      </c>
      <c r="AW27" s="290">
        <v>0.1</v>
      </c>
      <c r="AX27" s="290"/>
      <c r="AY27" s="265"/>
      <c r="AZ27" s="291"/>
      <c r="BA27" s="292" t="s">
        <v>140</v>
      </c>
      <c r="BB27" s="293" t="s">
        <v>1815</v>
      </c>
      <c r="BC27" s="294"/>
      <c r="BD27" s="294"/>
      <c r="BE27" s="294"/>
      <c r="BF27" s="294"/>
      <c r="BG27" s="294">
        <f t="shared" si="8"/>
        <v>0</v>
      </c>
      <c r="BH27" s="294"/>
      <c r="BI27" s="324" t="s">
        <v>1812</v>
      </c>
      <c r="BJ27" s="424" t="s">
        <v>1816</v>
      </c>
      <c r="BK27" s="317" t="s">
        <v>102</v>
      </c>
      <c r="BL27" s="129"/>
      <c r="BM27" s="129"/>
      <c r="BN27" s="36"/>
      <c r="BO27" s="130"/>
      <c r="BP27" s="32"/>
      <c r="BQ27" s="32"/>
      <c r="BR27" s="300" t="str">
        <f t="shared" si="9"/>
        <v>#REF!</v>
      </c>
      <c r="BS27" s="32"/>
      <c r="BT27" s="32"/>
    </row>
    <row r="28">
      <c r="A28" s="261">
        <v>9.102353856E9</v>
      </c>
      <c r="B28" s="262" t="s">
        <v>1817</v>
      </c>
      <c r="C28" s="264" t="s">
        <v>93</v>
      </c>
      <c r="D28" s="264" t="s">
        <v>93</v>
      </c>
      <c r="E28" s="265" t="s">
        <v>1818</v>
      </c>
      <c r="F28" s="450" t="s">
        <v>129</v>
      </c>
      <c r="G28" s="266" t="s">
        <v>495</v>
      </c>
      <c r="H28" s="302" t="s">
        <v>1819</v>
      </c>
      <c r="I28" s="268" t="s">
        <v>805</v>
      </c>
      <c r="J28" s="269" t="str">
        <f>VLOOKUP(I28,DADOS!B:F,5,0)</f>
        <v>ETEMILSON OLIVEIRA SANTOS - NTS149530</v>
      </c>
      <c r="K28" s="270" t="s">
        <v>497</v>
      </c>
      <c r="L28" s="303" t="s">
        <v>4</v>
      </c>
      <c r="M28" s="262" t="s">
        <v>105</v>
      </c>
      <c r="N28" s="262" t="s">
        <v>1609</v>
      </c>
      <c r="O28" s="272"/>
      <c r="P28" s="349">
        <v>46007.0</v>
      </c>
      <c r="Q28" s="422">
        <v>46010.0</v>
      </c>
      <c r="R28" s="443">
        <v>46030.0</v>
      </c>
      <c r="S28" s="275" t="s">
        <v>1820</v>
      </c>
      <c r="T28" s="274">
        <v>46054.0</v>
      </c>
      <c r="U28" s="275" t="s">
        <v>93</v>
      </c>
      <c r="V28" s="255" t="s">
        <v>1821</v>
      </c>
      <c r="W28" s="274">
        <v>46054.0</v>
      </c>
      <c r="X28" s="275" t="s">
        <v>93</v>
      </c>
      <c r="Y28" s="276"/>
      <c r="Z28" s="277"/>
      <c r="AA28" s="432"/>
      <c r="AB28" s="304" t="s">
        <v>1822</v>
      </c>
      <c r="AC28" s="262">
        <v>1.0</v>
      </c>
      <c r="AD28" s="262">
        <v>0.0</v>
      </c>
      <c r="AE28" s="262">
        <v>3.0</v>
      </c>
      <c r="AF28" s="280">
        <v>3.0</v>
      </c>
      <c r="AG28" s="280">
        <v>3.0</v>
      </c>
      <c r="AH28" s="281">
        <f t="shared" si="5"/>
        <v>0</v>
      </c>
      <c r="AI28" s="282">
        <f t="shared" si="6"/>
        <v>1</v>
      </c>
      <c r="AJ28" s="283">
        <v>1.0</v>
      </c>
      <c r="AK28" s="271">
        <v>46029.0</v>
      </c>
      <c r="AL28" s="271">
        <v>46034.0</v>
      </c>
      <c r="AM28" s="284"/>
      <c r="AN28" s="285">
        <v>46035.0</v>
      </c>
      <c r="AO28" s="262" t="s">
        <v>1823</v>
      </c>
      <c r="AP28" s="286" t="s">
        <v>1824</v>
      </c>
      <c r="AQ28" s="118" t="s">
        <v>1825</v>
      </c>
      <c r="AR28" s="286" t="s">
        <v>1826</v>
      </c>
      <c r="AS28" s="287">
        <v>24262.55</v>
      </c>
      <c r="AT28" s="287"/>
      <c r="AU28" s="288">
        <f>VLOOKUP(I28,DADOS!B:C,2,0)</f>
        <v>2302</v>
      </c>
      <c r="AV28" s="289">
        <f t="shared" si="7"/>
        <v>7440</v>
      </c>
      <c r="AW28" s="290"/>
      <c r="AX28" s="290"/>
      <c r="AY28" s="265"/>
      <c r="AZ28" s="291"/>
      <c r="BA28" s="292" t="s">
        <v>1782</v>
      </c>
      <c r="BB28" s="293" t="s">
        <v>1827</v>
      </c>
      <c r="BC28" s="294"/>
      <c r="BD28" s="294"/>
      <c r="BE28" s="294"/>
      <c r="BF28" s="294"/>
      <c r="BG28" s="294">
        <f t="shared" si="8"/>
        <v>0</v>
      </c>
      <c r="BH28" s="294"/>
      <c r="BI28" s="324" t="s">
        <v>1824</v>
      </c>
      <c r="BJ28" s="295" t="s">
        <v>1828</v>
      </c>
      <c r="BK28" s="275"/>
      <c r="BL28" s="297"/>
      <c r="BM28" s="297"/>
      <c r="BN28" s="298"/>
      <c r="BO28" s="299"/>
      <c r="BP28" s="300"/>
      <c r="BQ28" s="300"/>
      <c r="BR28" s="300" t="str">
        <f t="shared" si="9"/>
        <v>#REF!</v>
      </c>
      <c r="BS28" s="300"/>
      <c r="BT28" s="300"/>
    </row>
    <row r="29">
      <c r="A29" s="435">
        <v>9.102345143E9</v>
      </c>
      <c r="B29" s="262" t="s">
        <v>1829</v>
      </c>
      <c r="C29" s="264" t="s">
        <v>93</v>
      </c>
      <c r="D29" s="264" t="s">
        <v>93</v>
      </c>
      <c r="E29" s="265" t="s">
        <v>1830</v>
      </c>
      <c r="F29" s="305" t="s">
        <v>129</v>
      </c>
      <c r="G29" s="266" t="s">
        <v>495</v>
      </c>
      <c r="H29" s="430" t="s">
        <v>1592</v>
      </c>
      <c r="I29" s="268" t="s">
        <v>412</v>
      </c>
      <c r="J29" s="269" t="str">
        <f>VLOOKUP(I29,DADOS!B:F,5,0)</f>
        <v>ETEMILSON OLIVEIRA SANTOS - NTS149530</v>
      </c>
      <c r="K29" s="270" t="s">
        <v>131</v>
      </c>
      <c r="L29" s="262" t="s">
        <v>4</v>
      </c>
      <c r="M29" s="262" t="s">
        <v>184</v>
      </c>
      <c r="N29" s="271">
        <v>45982.0</v>
      </c>
      <c r="O29" s="272" t="s">
        <v>1831</v>
      </c>
      <c r="P29" s="252">
        <v>45983.0</v>
      </c>
      <c r="Q29" s="273">
        <v>45983.0</v>
      </c>
      <c r="R29" s="271">
        <v>45994.0</v>
      </c>
      <c r="S29" s="254" t="s">
        <v>1832</v>
      </c>
      <c r="T29" s="274"/>
      <c r="U29" s="275" t="s">
        <v>93</v>
      </c>
      <c r="V29" s="255" t="s">
        <v>1833</v>
      </c>
      <c r="W29" s="274">
        <v>46059.0</v>
      </c>
      <c r="X29" s="275" t="s">
        <v>93</v>
      </c>
      <c r="Y29" s="276"/>
      <c r="Z29" s="277"/>
      <c r="AA29" s="432" t="s">
        <v>1834</v>
      </c>
      <c r="AB29" s="304" t="s">
        <v>1835</v>
      </c>
      <c r="AC29" s="262">
        <v>1.0</v>
      </c>
      <c r="AD29" s="436">
        <v>0.0</v>
      </c>
      <c r="AE29" s="262">
        <v>7.0</v>
      </c>
      <c r="AF29" s="262">
        <v>7.0</v>
      </c>
      <c r="AG29" s="280">
        <f>5+1+1</f>
        <v>7</v>
      </c>
      <c r="AH29" s="281">
        <f t="shared" si="5"/>
        <v>0</v>
      </c>
      <c r="AI29" s="282">
        <f t="shared" si="6"/>
        <v>1</v>
      </c>
      <c r="AJ29" s="283">
        <v>1.0</v>
      </c>
      <c r="AK29" s="271">
        <v>46009.0</v>
      </c>
      <c r="AL29" s="271">
        <v>46029.0</v>
      </c>
      <c r="AM29" s="284"/>
      <c r="AN29" s="285">
        <v>46028.0</v>
      </c>
      <c r="AO29" s="262" t="s">
        <v>1836</v>
      </c>
      <c r="AP29" s="294" t="s">
        <v>1837</v>
      </c>
      <c r="AQ29" s="325" t="s">
        <v>1838</v>
      </c>
      <c r="AR29" s="286" t="s">
        <v>1839</v>
      </c>
      <c r="AS29" s="287">
        <v>81669.43</v>
      </c>
      <c r="AT29" s="287"/>
      <c r="AU29" s="288">
        <f>VLOOKUP(I29,DADOS!B:C,2,0)</f>
        <v>2332</v>
      </c>
      <c r="AV29" s="289">
        <f t="shared" si="7"/>
        <v>17360</v>
      </c>
      <c r="AW29" s="290">
        <v>0.05</v>
      </c>
      <c r="AX29" s="290"/>
      <c r="AY29" s="265"/>
      <c r="AZ29" s="291"/>
      <c r="BA29" s="292" t="s">
        <v>140</v>
      </c>
      <c r="BB29" s="293" t="s">
        <v>1840</v>
      </c>
      <c r="BC29" s="294"/>
      <c r="BD29" s="294"/>
      <c r="BE29" s="294"/>
      <c r="BF29" s="294"/>
      <c r="BG29" s="294">
        <f t="shared" si="8"/>
        <v>0</v>
      </c>
      <c r="BH29" s="294"/>
      <c r="BI29" s="294" t="s">
        <v>1841</v>
      </c>
      <c r="BJ29" s="295" t="s">
        <v>1842</v>
      </c>
      <c r="BK29" s="275" t="s">
        <v>429</v>
      </c>
      <c r="BL29" s="297"/>
      <c r="BM29" s="297"/>
      <c r="BN29" s="298"/>
      <c r="BO29" s="299"/>
      <c r="BP29" s="300"/>
      <c r="BQ29" s="300"/>
      <c r="BR29" s="300" t="str">
        <f t="shared" si="9"/>
        <v>#REF!</v>
      </c>
      <c r="BS29" s="300"/>
      <c r="BT29" s="300"/>
    </row>
    <row r="30">
      <c r="A30" s="437">
        <v>9.101797392E9</v>
      </c>
      <c r="B30" s="262" t="s">
        <v>1843</v>
      </c>
      <c r="C30" s="264" t="s">
        <v>93</v>
      </c>
      <c r="D30" s="264" t="s">
        <v>93</v>
      </c>
      <c r="E30" s="265" t="s">
        <v>1844</v>
      </c>
      <c r="F30" s="305" t="s">
        <v>129</v>
      </c>
      <c r="G30" s="266" t="s">
        <v>495</v>
      </c>
      <c r="H30" s="302"/>
      <c r="I30" s="268" t="s">
        <v>412</v>
      </c>
      <c r="J30" s="269" t="str">
        <f>VLOOKUP(I30,DADOS!B:F,5,0)</f>
        <v>ETEMILSON OLIVEIRA SANTOS - NTS149530</v>
      </c>
      <c r="K30" s="270" t="s">
        <v>497</v>
      </c>
      <c r="L30" s="303" t="s">
        <v>4</v>
      </c>
      <c r="M30" s="262" t="s">
        <v>91</v>
      </c>
      <c r="N30" s="271">
        <v>46008.0</v>
      </c>
      <c r="O30" s="272" t="s">
        <v>1845</v>
      </c>
      <c r="P30" s="349">
        <v>46008.0</v>
      </c>
      <c r="Q30" s="422">
        <v>46010.0</v>
      </c>
      <c r="R30" s="271">
        <v>46030.0</v>
      </c>
      <c r="S30" s="254" t="s">
        <v>1846</v>
      </c>
      <c r="T30" s="274">
        <v>46054.0</v>
      </c>
      <c r="U30" s="275" t="s">
        <v>93</v>
      </c>
      <c r="V30" s="255" t="str">
        <f>S30</f>
        <v>2025-162657</v>
      </c>
      <c r="W30" s="333">
        <v>46062.0</v>
      </c>
      <c r="X30" s="275" t="s">
        <v>93</v>
      </c>
      <c r="Y30" s="276"/>
      <c r="Z30" s="277" t="s">
        <v>162</v>
      </c>
      <c r="AA30" s="292" t="s">
        <v>1847</v>
      </c>
      <c r="AB30" s="304" t="s">
        <v>1848</v>
      </c>
      <c r="AC30" s="262">
        <v>1.0</v>
      </c>
      <c r="AD30" s="262">
        <v>0.0</v>
      </c>
      <c r="AE30" s="262">
        <v>11.0</v>
      </c>
      <c r="AF30" s="280">
        <v>11.0</v>
      </c>
      <c r="AG30" s="280">
        <v>11.0</v>
      </c>
      <c r="AH30" s="281">
        <f t="shared" si="5"/>
        <v>0</v>
      </c>
      <c r="AI30" s="282">
        <f t="shared" si="6"/>
        <v>1</v>
      </c>
      <c r="AJ30" s="283">
        <v>0.5</v>
      </c>
      <c r="AK30" s="271">
        <v>46028.0</v>
      </c>
      <c r="AL30" s="271">
        <v>46042.0</v>
      </c>
      <c r="AM30" s="284"/>
      <c r="AN30" s="285">
        <v>46042.0</v>
      </c>
      <c r="AO30" s="262" t="s">
        <v>1849</v>
      </c>
      <c r="AP30" s="286" t="s">
        <v>1850</v>
      </c>
      <c r="AQ30" s="118" t="s">
        <v>1851</v>
      </c>
      <c r="AR30" s="286" t="s">
        <v>1852</v>
      </c>
      <c r="AS30" s="287">
        <v>101166.37</v>
      </c>
      <c r="AT30" s="287"/>
      <c r="AU30" s="288">
        <f>VLOOKUP(I30,DADOS!B:C,2,0)</f>
        <v>2332</v>
      </c>
      <c r="AV30" s="289">
        <f t="shared" si="7"/>
        <v>27280</v>
      </c>
      <c r="AW30" s="290"/>
      <c r="AX30" s="290"/>
      <c r="AY30" s="265"/>
      <c r="AZ30" s="291"/>
      <c r="BA30" s="292" t="s">
        <v>178</v>
      </c>
      <c r="BB30" s="293" t="s">
        <v>1853</v>
      </c>
      <c r="BC30" s="294"/>
      <c r="BD30" s="294"/>
      <c r="BE30" s="294"/>
      <c r="BF30" s="294"/>
      <c r="BG30" s="294">
        <f t="shared" si="8"/>
        <v>0</v>
      </c>
      <c r="BH30" s="294"/>
      <c r="BI30" s="324" t="s">
        <v>1850</v>
      </c>
      <c r="BJ30" s="295" t="s">
        <v>1854</v>
      </c>
      <c r="BK30" s="425" t="s">
        <v>102</v>
      </c>
      <c r="BL30" s="180"/>
      <c r="BM30" s="180"/>
      <c r="BN30" s="181"/>
      <c r="BO30" s="130"/>
      <c r="BP30" s="131"/>
      <c r="BQ30" s="131"/>
      <c r="BR30" s="300" t="str">
        <f t="shared" si="9"/>
        <v>#REF!</v>
      </c>
      <c r="BS30" s="32"/>
      <c r="BT30" s="32"/>
    </row>
    <row r="31">
      <c r="A31" s="435">
        <v>9.10234328E9</v>
      </c>
      <c r="B31" s="262" t="s">
        <v>1855</v>
      </c>
      <c r="C31" s="264" t="s">
        <v>93</v>
      </c>
      <c r="D31" s="264" t="s">
        <v>93</v>
      </c>
      <c r="E31" s="265" t="s">
        <v>1856</v>
      </c>
      <c r="F31" s="305" t="s">
        <v>129</v>
      </c>
      <c r="G31" s="266" t="s">
        <v>495</v>
      </c>
      <c r="H31" s="430" t="s">
        <v>1592</v>
      </c>
      <c r="I31" s="268" t="s">
        <v>412</v>
      </c>
      <c r="J31" s="269" t="str">
        <f>VLOOKUP(I31,DADOS!B:F,5,0)</f>
        <v>ETEMILSON OLIVEIRA SANTOS - NTS149530</v>
      </c>
      <c r="K31" s="270" t="s">
        <v>131</v>
      </c>
      <c r="L31" s="262" t="s">
        <v>444</v>
      </c>
      <c r="M31" s="262" t="s">
        <v>1683</v>
      </c>
      <c r="N31" s="271">
        <v>45982.0</v>
      </c>
      <c r="O31" s="272" t="s">
        <v>1857</v>
      </c>
      <c r="P31" s="252">
        <v>45982.0</v>
      </c>
      <c r="Q31" s="273">
        <v>45982.0</v>
      </c>
      <c r="R31" s="271">
        <v>45987.0</v>
      </c>
      <c r="S31" s="254" t="s">
        <v>1858</v>
      </c>
      <c r="T31" s="274"/>
      <c r="U31" s="275" t="s">
        <v>93</v>
      </c>
      <c r="V31" s="255" t="s">
        <v>1859</v>
      </c>
      <c r="W31" s="274">
        <v>46059.0</v>
      </c>
      <c r="X31" s="275" t="s">
        <v>93</v>
      </c>
      <c r="Y31" s="276"/>
      <c r="Z31" s="277"/>
      <c r="AA31" s="432" t="s">
        <v>1860</v>
      </c>
      <c r="AB31" s="304" t="s">
        <v>1861</v>
      </c>
      <c r="AC31" s="262">
        <v>1.0</v>
      </c>
      <c r="AD31" s="262">
        <v>0.0</v>
      </c>
      <c r="AE31" s="262">
        <v>11.0</v>
      </c>
      <c r="AF31" s="262">
        <v>11.0</v>
      </c>
      <c r="AG31" s="280">
        <v>11.0</v>
      </c>
      <c r="AH31" s="281">
        <f t="shared" si="5"/>
        <v>0</v>
      </c>
      <c r="AI31" s="282">
        <f t="shared" si="6"/>
        <v>1</v>
      </c>
      <c r="AJ31" s="283">
        <v>1.0</v>
      </c>
      <c r="AK31" s="271">
        <v>46001.0</v>
      </c>
      <c r="AL31" s="271">
        <v>46029.0</v>
      </c>
      <c r="AM31" s="284"/>
      <c r="AN31" s="285">
        <v>46029.0</v>
      </c>
      <c r="AO31" s="262" t="s">
        <v>1862</v>
      </c>
      <c r="AP31" s="294" t="s">
        <v>1863</v>
      </c>
      <c r="AQ31" s="325" t="s">
        <v>1864</v>
      </c>
      <c r="AR31" s="286" t="s">
        <v>1865</v>
      </c>
      <c r="AS31" s="287">
        <v>119490.86</v>
      </c>
      <c r="AT31" s="287"/>
      <c r="AU31" s="288">
        <f>VLOOKUP(I31,DADOS!B:C,2,0)</f>
        <v>2332</v>
      </c>
      <c r="AV31" s="289">
        <f t="shared" si="7"/>
        <v>27280</v>
      </c>
      <c r="AW31" s="290">
        <v>0.164</v>
      </c>
      <c r="AX31" s="290"/>
      <c r="AY31" s="265"/>
      <c r="AZ31" s="291"/>
      <c r="BA31" s="292" t="s">
        <v>156</v>
      </c>
      <c r="BB31" s="293" t="s">
        <v>1866</v>
      </c>
      <c r="BC31" s="294"/>
      <c r="BD31" s="294"/>
      <c r="BE31" s="294"/>
      <c r="BF31" s="294"/>
      <c r="BG31" s="294">
        <f t="shared" si="8"/>
        <v>0</v>
      </c>
      <c r="BH31" s="294"/>
      <c r="BI31" s="294" t="s">
        <v>1867</v>
      </c>
      <c r="BJ31" s="295" t="s">
        <v>1868</v>
      </c>
      <c r="BK31" s="317" t="s">
        <v>429</v>
      </c>
      <c r="BL31" s="129"/>
      <c r="BM31" s="129"/>
      <c r="BN31" s="36"/>
      <c r="BO31" s="130"/>
      <c r="BP31" s="32"/>
      <c r="BQ31" s="32"/>
      <c r="BR31" s="300" t="str">
        <f t="shared" si="9"/>
        <v>#REF!</v>
      </c>
      <c r="BS31" s="300"/>
      <c r="BT31" s="300"/>
    </row>
    <row r="32">
      <c r="A32" s="140">
        <v>9.101196119E9</v>
      </c>
      <c r="B32" s="141" t="s">
        <v>160</v>
      </c>
      <c r="C32" s="142"/>
      <c r="D32" s="142"/>
      <c r="E32" s="172" t="s">
        <v>161</v>
      </c>
      <c r="F32" s="144" t="s">
        <v>129</v>
      </c>
      <c r="G32" s="145" t="s">
        <v>162</v>
      </c>
      <c r="H32" s="146" t="s">
        <v>1869</v>
      </c>
      <c r="I32" s="147" t="s">
        <v>805</v>
      </c>
      <c r="J32" s="148" t="str">
        <f>VLOOKUP(I32,DADOS!B:F,5,0)</f>
        <v>ETEMILSON OLIVEIRA SANTOS - NTS149530</v>
      </c>
      <c r="K32" s="149"/>
      <c r="L32" s="141" t="s">
        <v>11</v>
      </c>
      <c r="M32" s="141" t="s">
        <v>91</v>
      </c>
      <c r="N32" s="150"/>
      <c r="O32" s="151"/>
      <c r="P32" s="152" t="s">
        <v>1771</v>
      </c>
      <c r="Q32" s="150"/>
      <c r="R32" s="150"/>
      <c r="S32" s="153"/>
      <c r="T32" s="154"/>
      <c r="U32" s="153" t="s">
        <v>93</v>
      </c>
      <c r="V32" s="155"/>
      <c r="W32" s="156"/>
      <c r="X32" s="153" t="s">
        <v>93</v>
      </c>
      <c r="Y32" s="157"/>
      <c r="Z32" s="158"/>
      <c r="AA32" s="174" t="s">
        <v>1870</v>
      </c>
      <c r="AB32" s="160" t="s">
        <v>1871</v>
      </c>
      <c r="AC32" s="141">
        <v>1.0</v>
      </c>
      <c r="AD32" s="141"/>
      <c r="AE32" s="141">
        <v>9.0</v>
      </c>
      <c r="AF32" s="161"/>
      <c r="AG32" s="161"/>
      <c r="AH32" s="162">
        <f t="shared" si="5"/>
        <v>9</v>
      </c>
      <c r="AI32" s="163">
        <f t="shared" si="6"/>
        <v>0</v>
      </c>
      <c r="AJ32" s="189"/>
      <c r="AK32" s="150"/>
      <c r="AL32" s="150"/>
      <c r="AM32" s="164"/>
      <c r="AN32" s="428">
        <v>46052.0</v>
      </c>
      <c r="AO32" s="141"/>
      <c r="AP32" s="166" t="s">
        <v>1872</v>
      </c>
      <c r="AQ32" s="191" t="s">
        <v>1873</v>
      </c>
      <c r="AR32" s="166" t="s">
        <v>1874</v>
      </c>
      <c r="AS32" s="168">
        <v>33926.81</v>
      </c>
      <c r="AT32" s="168"/>
      <c r="AU32" s="169">
        <f>VLOOKUP(I32,DADOS!B:C,2,0)</f>
        <v>2302</v>
      </c>
      <c r="AV32" s="170">
        <f t="shared" si="7"/>
        <v>22320</v>
      </c>
      <c r="AW32" s="171"/>
      <c r="AX32" s="171"/>
      <c r="AY32" s="172"/>
      <c r="AZ32" s="173"/>
      <c r="BA32" s="174" t="s">
        <v>1738</v>
      </c>
      <c r="BB32" s="175" t="s">
        <v>1875</v>
      </c>
      <c r="BC32" s="176"/>
      <c r="BD32" s="176"/>
      <c r="BE32" s="176"/>
      <c r="BF32" s="176"/>
      <c r="BG32" s="176">
        <f t="shared" si="8"/>
        <v>0</v>
      </c>
      <c r="BH32" s="176"/>
      <c r="BI32" s="343" t="s">
        <v>1872</v>
      </c>
      <c r="BJ32" s="344" t="s">
        <v>1876</v>
      </c>
      <c r="BK32" s="342" t="s">
        <v>102</v>
      </c>
      <c r="BL32" s="180"/>
      <c r="BM32" s="180"/>
      <c r="BN32" s="181"/>
      <c r="BO32" s="130"/>
      <c r="BP32" s="32"/>
      <c r="BQ32" s="131"/>
      <c r="BR32" s="300" t="str">
        <f t="shared" si="9"/>
        <v>#REF!</v>
      </c>
      <c r="BS32" s="300"/>
      <c r="BT32" s="300"/>
    </row>
    <row r="33">
      <c r="A33" s="435">
        <v>9.101894486E9</v>
      </c>
      <c r="B33" s="262" t="s">
        <v>1877</v>
      </c>
      <c r="C33" s="264" t="s">
        <v>93</v>
      </c>
      <c r="D33" s="264" t="s">
        <v>93</v>
      </c>
      <c r="E33" s="265" t="s">
        <v>1878</v>
      </c>
      <c r="F33" s="305" t="s">
        <v>129</v>
      </c>
      <c r="G33" s="266" t="s">
        <v>495</v>
      </c>
      <c r="H33" s="430" t="s">
        <v>1592</v>
      </c>
      <c r="I33" s="268" t="s">
        <v>965</v>
      </c>
      <c r="J33" s="269" t="str">
        <f>VLOOKUP(I33,DADOS!B:F,5,0)</f>
        <v>ETEMILSON OLIVEIRA SANTOS - NTS149530</v>
      </c>
      <c r="K33" s="270" t="s">
        <v>131</v>
      </c>
      <c r="L33" s="262" t="s">
        <v>4</v>
      </c>
      <c r="M33" s="262" t="s">
        <v>1683</v>
      </c>
      <c r="N33" s="271">
        <v>45982.0</v>
      </c>
      <c r="O33" s="272" t="s">
        <v>1831</v>
      </c>
      <c r="P33" s="252">
        <v>45982.0</v>
      </c>
      <c r="Q33" s="273">
        <v>45982.0</v>
      </c>
      <c r="R33" s="271">
        <v>45996.0</v>
      </c>
      <c r="S33" s="254" t="s">
        <v>1879</v>
      </c>
      <c r="T33" s="274"/>
      <c r="U33" s="275" t="s">
        <v>93</v>
      </c>
      <c r="V33" s="255" t="s">
        <v>1880</v>
      </c>
      <c r="W33" s="274">
        <v>46059.0</v>
      </c>
      <c r="X33" s="275" t="s">
        <v>93</v>
      </c>
      <c r="Y33" s="276"/>
      <c r="Z33" s="277"/>
      <c r="AA33" s="432" t="s">
        <v>1881</v>
      </c>
      <c r="AB33" s="304" t="s">
        <v>1882</v>
      </c>
      <c r="AC33" s="262">
        <v>1.0</v>
      </c>
      <c r="AD33" s="262">
        <v>0.0</v>
      </c>
      <c r="AE33" s="262">
        <v>10.0</v>
      </c>
      <c r="AF33" s="262">
        <f>7+3</f>
        <v>10</v>
      </c>
      <c r="AG33" s="280">
        <f>3+4+3</f>
        <v>10</v>
      </c>
      <c r="AH33" s="281">
        <f t="shared" si="5"/>
        <v>0</v>
      </c>
      <c r="AI33" s="282">
        <f t="shared" si="6"/>
        <v>1</v>
      </c>
      <c r="AJ33" s="283">
        <v>1.0</v>
      </c>
      <c r="AK33" s="271">
        <v>46007.0</v>
      </c>
      <c r="AL33" s="271">
        <v>46029.0</v>
      </c>
      <c r="AM33" s="284"/>
      <c r="AN33" s="285">
        <v>46029.0</v>
      </c>
      <c r="AO33" s="262" t="s">
        <v>1883</v>
      </c>
      <c r="AP33" s="294" t="s">
        <v>1884</v>
      </c>
      <c r="AQ33" s="325" t="s">
        <v>1885</v>
      </c>
      <c r="AR33" s="286" t="s">
        <v>1886</v>
      </c>
      <c r="AS33" s="287">
        <v>120306.09</v>
      </c>
      <c r="AT33" s="287"/>
      <c r="AU33" s="288">
        <f>VLOOKUP(I33,DADOS!B:C,2,0)</f>
        <v>2301</v>
      </c>
      <c r="AV33" s="289">
        <f t="shared" si="7"/>
        <v>24800</v>
      </c>
      <c r="AW33" s="290" t="s">
        <v>93</v>
      </c>
      <c r="AX33" s="290" t="s">
        <v>93</v>
      </c>
      <c r="AY33" s="265"/>
      <c r="AZ33" s="291"/>
      <c r="BA33" s="292" t="s">
        <v>140</v>
      </c>
      <c r="BB33" s="293" t="s">
        <v>1887</v>
      </c>
      <c r="BC33" s="294"/>
      <c r="BD33" s="294"/>
      <c r="BE33" s="294"/>
      <c r="BF33" s="294"/>
      <c r="BG33" s="294">
        <f t="shared" si="8"/>
        <v>0</v>
      </c>
      <c r="BH33" s="294"/>
      <c r="BI33" s="294" t="s">
        <v>1884</v>
      </c>
      <c r="BJ33" s="295" t="s">
        <v>1888</v>
      </c>
      <c r="BK33" s="275" t="s">
        <v>429</v>
      </c>
      <c r="BL33" s="297"/>
      <c r="BM33" s="297"/>
      <c r="BN33" s="298"/>
      <c r="BO33" s="299"/>
      <c r="BP33" s="300"/>
      <c r="BQ33" s="300"/>
      <c r="BR33" s="300" t="str">
        <f t="shared" si="9"/>
        <v>#REF!</v>
      </c>
      <c r="BS33" s="300"/>
      <c r="BT33" s="300"/>
    </row>
    <row r="34">
      <c r="A34" s="435">
        <v>9.101908075E9</v>
      </c>
      <c r="B34" s="262" t="s">
        <v>1889</v>
      </c>
      <c r="C34" s="264" t="s">
        <v>93</v>
      </c>
      <c r="D34" s="264" t="s">
        <v>93</v>
      </c>
      <c r="E34" s="265" t="s">
        <v>1890</v>
      </c>
      <c r="F34" s="305" t="s">
        <v>129</v>
      </c>
      <c r="G34" s="266" t="s">
        <v>495</v>
      </c>
      <c r="H34" s="430" t="s">
        <v>1592</v>
      </c>
      <c r="I34" s="268" t="s">
        <v>773</v>
      </c>
      <c r="J34" s="269" t="str">
        <f>VLOOKUP(I34,DADOS!B:F,5,0)</f>
        <v>GILVANDO RIOS DA CRUZ - NTS025538</v>
      </c>
      <c r="K34" s="270" t="s">
        <v>1891</v>
      </c>
      <c r="L34" s="262" t="s">
        <v>1285</v>
      </c>
      <c r="M34" s="262" t="s">
        <v>91</v>
      </c>
      <c r="N34" s="271">
        <v>45982.0</v>
      </c>
      <c r="O34" s="272" t="s">
        <v>1649</v>
      </c>
      <c r="P34" s="252">
        <v>45983.0</v>
      </c>
      <c r="Q34" s="273">
        <v>45983.0</v>
      </c>
      <c r="R34" s="271">
        <v>45993.0</v>
      </c>
      <c r="S34" s="254" t="s">
        <v>1892</v>
      </c>
      <c r="T34" s="274"/>
      <c r="U34" s="275" t="s">
        <v>93</v>
      </c>
      <c r="V34" s="255" t="s">
        <v>1893</v>
      </c>
      <c r="W34" s="274">
        <v>46059.0</v>
      </c>
      <c r="X34" s="275" t="s">
        <v>93</v>
      </c>
      <c r="Y34" s="276"/>
      <c r="Z34" s="277"/>
      <c r="AA34" s="432" t="s">
        <v>1894</v>
      </c>
      <c r="AB34" s="304" t="s">
        <v>1895</v>
      </c>
      <c r="AC34" s="262">
        <v>1.0</v>
      </c>
      <c r="AD34" s="262">
        <v>0.0</v>
      </c>
      <c r="AE34" s="262">
        <v>13.0</v>
      </c>
      <c r="AF34" s="262">
        <f>4+5+3+1</f>
        <v>13</v>
      </c>
      <c r="AG34" s="280">
        <f>3+3+5+1+1</f>
        <v>13</v>
      </c>
      <c r="AH34" s="281">
        <f t="shared" si="5"/>
        <v>0</v>
      </c>
      <c r="AI34" s="282">
        <f t="shared" si="6"/>
        <v>1</v>
      </c>
      <c r="AJ34" s="283">
        <v>1.0</v>
      </c>
      <c r="AK34" s="271">
        <v>45995.0</v>
      </c>
      <c r="AL34" s="271">
        <v>46028.0</v>
      </c>
      <c r="AM34" s="284"/>
      <c r="AN34" s="285">
        <v>46029.0</v>
      </c>
      <c r="AO34" s="262" t="s">
        <v>1896</v>
      </c>
      <c r="AP34" s="294" t="s">
        <v>1897</v>
      </c>
      <c r="AQ34" s="325" t="s">
        <v>1898</v>
      </c>
      <c r="AR34" s="286" t="s">
        <v>1899</v>
      </c>
      <c r="AS34" s="287">
        <v>157860.38</v>
      </c>
      <c r="AT34" s="287"/>
      <c r="AU34" s="288">
        <f>VLOOKUP(I34,DADOS!B:C,2,0)</f>
        <v>2305</v>
      </c>
      <c r="AV34" s="289">
        <f t="shared" si="7"/>
        <v>32240</v>
      </c>
      <c r="AW34" s="290" t="s">
        <v>93</v>
      </c>
      <c r="AX34" s="290" t="s">
        <v>93</v>
      </c>
      <c r="AY34" s="265"/>
      <c r="AZ34" s="291"/>
      <c r="BA34" s="292" t="s">
        <v>178</v>
      </c>
      <c r="BB34" s="293" t="s">
        <v>1900</v>
      </c>
      <c r="BC34" s="294"/>
      <c r="BD34" s="294"/>
      <c r="BE34" s="294"/>
      <c r="BF34" s="294"/>
      <c r="BG34" s="294">
        <f t="shared" si="8"/>
        <v>0</v>
      </c>
      <c r="BH34" s="294"/>
      <c r="BI34" s="294" t="s">
        <v>1897</v>
      </c>
      <c r="BJ34" s="295" t="s">
        <v>1901</v>
      </c>
      <c r="BK34" s="454" t="s">
        <v>429</v>
      </c>
      <c r="BL34" s="297"/>
      <c r="BM34" s="297"/>
      <c r="BN34" s="298"/>
      <c r="BO34" s="299"/>
      <c r="BP34" s="300"/>
      <c r="BQ34" s="300"/>
      <c r="BR34" s="300" t="str">
        <f t="shared" si="9"/>
        <v>#REF!</v>
      </c>
      <c r="BS34" s="300"/>
      <c r="BT34" s="300"/>
    </row>
    <row r="35">
      <c r="A35" s="435">
        <v>9.101924099E9</v>
      </c>
      <c r="B35" s="262" t="s">
        <v>1902</v>
      </c>
      <c r="C35" s="264" t="s">
        <v>93</v>
      </c>
      <c r="D35" s="264" t="s">
        <v>93</v>
      </c>
      <c r="E35" s="265" t="s">
        <v>1903</v>
      </c>
      <c r="F35" s="305" t="s">
        <v>129</v>
      </c>
      <c r="G35" s="266" t="s">
        <v>495</v>
      </c>
      <c r="H35" s="430" t="s">
        <v>1592</v>
      </c>
      <c r="I35" s="268" t="s">
        <v>412</v>
      </c>
      <c r="J35" s="269" t="str">
        <f>VLOOKUP(I35,DADOS!B:F,5,0)</f>
        <v>ETEMILSON OLIVEIRA SANTOS - NTS149530</v>
      </c>
      <c r="K35" s="270" t="s">
        <v>1891</v>
      </c>
      <c r="L35" s="262" t="s">
        <v>1285</v>
      </c>
      <c r="M35" s="262" t="s">
        <v>91</v>
      </c>
      <c r="N35" s="271">
        <v>45982.0</v>
      </c>
      <c r="O35" s="272" t="s">
        <v>1904</v>
      </c>
      <c r="P35" s="252">
        <v>45983.0</v>
      </c>
      <c r="Q35" s="341">
        <v>45983.0</v>
      </c>
      <c r="R35" s="271">
        <v>45994.0</v>
      </c>
      <c r="S35" s="254" t="s">
        <v>1905</v>
      </c>
      <c r="T35" s="274"/>
      <c r="U35" s="275" t="s">
        <v>93</v>
      </c>
      <c r="V35" s="255" t="s">
        <v>1906</v>
      </c>
      <c r="W35" s="274">
        <v>46059.0</v>
      </c>
      <c r="X35" s="275" t="s">
        <v>93</v>
      </c>
      <c r="Y35" s="276"/>
      <c r="Z35" s="277"/>
      <c r="AA35" s="440" t="s">
        <v>1907</v>
      </c>
      <c r="AB35" s="304" t="s">
        <v>1908</v>
      </c>
      <c r="AC35" s="262">
        <v>1.0</v>
      </c>
      <c r="AD35" s="262">
        <v>0.0</v>
      </c>
      <c r="AE35" s="262">
        <v>12.0</v>
      </c>
      <c r="AF35" s="262">
        <f>11+1</f>
        <v>12</v>
      </c>
      <c r="AG35" s="280">
        <f>3+6+2+1</f>
        <v>12</v>
      </c>
      <c r="AH35" s="281">
        <f t="shared" si="5"/>
        <v>0</v>
      </c>
      <c r="AI35" s="282">
        <f t="shared" si="6"/>
        <v>1</v>
      </c>
      <c r="AJ35" s="283">
        <v>1.0</v>
      </c>
      <c r="AK35" s="271">
        <v>45996.0</v>
      </c>
      <c r="AL35" s="271">
        <v>46000.0</v>
      </c>
      <c r="AM35" s="284"/>
      <c r="AN35" s="285">
        <v>46028.0</v>
      </c>
      <c r="AO35" s="262" t="s">
        <v>1909</v>
      </c>
      <c r="AP35" s="294" t="s">
        <v>1910</v>
      </c>
      <c r="AQ35" s="325" t="s">
        <v>1911</v>
      </c>
      <c r="AR35" s="286" t="s">
        <v>1912</v>
      </c>
      <c r="AS35" s="287">
        <v>66556.54</v>
      </c>
      <c r="AT35" s="287"/>
      <c r="AU35" s="288">
        <f>VLOOKUP(I35,DADOS!B:C,2,0)</f>
        <v>2332</v>
      </c>
      <c r="AV35" s="289">
        <f t="shared" si="7"/>
        <v>29760</v>
      </c>
      <c r="AW35" s="290">
        <v>0.233</v>
      </c>
      <c r="AX35" s="290"/>
      <c r="AY35" s="265"/>
      <c r="AZ35" s="291"/>
      <c r="BA35" s="292" t="s">
        <v>140</v>
      </c>
      <c r="BB35" s="293" t="s">
        <v>1709</v>
      </c>
      <c r="BC35" s="294"/>
      <c r="BD35" s="294"/>
      <c r="BE35" s="294"/>
      <c r="BF35" s="294"/>
      <c r="BG35" s="294">
        <f t="shared" si="8"/>
        <v>0</v>
      </c>
      <c r="BH35" s="294"/>
      <c r="BI35" s="294" t="s">
        <v>1913</v>
      </c>
      <c r="BJ35" s="295" t="s">
        <v>1914</v>
      </c>
      <c r="BK35" s="275" t="s">
        <v>429</v>
      </c>
      <c r="BL35" s="297"/>
      <c r="BM35" s="297"/>
      <c r="BN35" s="298"/>
      <c r="BO35" s="299"/>
      <c r="BP35" s="300"/>
      <c r="BQ35" s="300"/>
      <c r="BR35" s="300" t="str">
        <f t="shared" si="9"/>
        <v>#REF!</v>
      </c>
      <c r="BS35" s="300"/>
      <c r="BT35" s="300"/>
    </row>
    <row r="36">
      <c r="A36" s="435">
        <v>9.102350583E9</v>
      </c>
      <c r="B36" s="262" t="s">
        <v>1915</v>
      </c>
      <c r="C36" s="264" t="s">
        <v>93</v>
      </c>
      <c r="D36" s="264" t="s">
        <v>93</v>
      </c>
      <c r="E36" s="265" t="s">
        <v>1916</v>
      </c>
      <c r="F36" s="305" t="s">
        <v>129</v>
      </c>
      <c r="G36" s="266" t="s">
        <v>495</v>
      </c>
      <c r="H36" s="430" t="s">
        <v>1592</v>
      </c>
      <c r="I36" s="268" t="s">
        <v>412</v>
      </c>
      <c r="J36" s="269" t="str">
        <f>VLOOKUP(I36,DADOS!B:F,5,0)</f>
        <v>ETEMILSON OLIVEIRA SANTOS - NTS149530</v>
      </c>
      <c r="K36" s="270" t="s">
        <v>131</v>
      </c>
      <c r="L36" s="262" t="s">
        <v>4</v>
      </c>
      <c r="M36" s="262" t="s">
        <v>184</v>
      </c>
      <c r="N36" s="271">
        <v>45981.0</v>
      </c>
      <c r="O36" s="272" t="s">
        <v>1831</v>
      </c>
      <c r="P36" s="252">
        <v>45981.0</v>
      </c>
      <c r="Q36" s="273">
        <v>45981.0</v>
      </c>
      <c r="R36" s="271">
        <v>45996.0</v>
      </c>
      <c r="S36" s="254" t="s">
        <v>1917</v>
      </c>
      <c r="T36" s="274"/>
      <c r="U36" s="275" t="s">
        <v>93</v>
      </c>
      <c r="V36" s="255" t="s">
        <v>1918</v>
      </c>
      <c r="W36" s="274">
        <v>46059.0</v>
      </c>
      <c r="X36" s="275" t="s">
        <v>93</v>
      </c>
      <c r="Y36" s="276"/>
      <c r="Z36" s="277"/>
      <c r="AA36" s="432" t="s">
        <v>1919</v>
      </c>
      <c r="AB36" s="304" t="s">
        <v>1920</v>
      </c>
      <c r="AC36" s="262">
        <v>1.0</v>
      </c>
      <c r="AD36" s="436">
        <v>0.0</v>
      </c>
      <c r="AE36" s="262">
        <v>7.0</v>
      </c>
      <c r="AF36" s="262">
        <v>7.0</v>
      </c>
      <c r="AG36" s="280">
        <v>7.0</v>
      </c>
      <c r="AH36" s="281">
        <f t="shared" si="5"/>
        <v>0</v>
      </c>
      <c r="AI36" s="282">
        <f t="shared" si="6"/>
        <v>1</v>
      </c>
      <c r="AJ36" s="283">
        <v>1.0</v>
      </c>
      <c r="AK36" s="271">
        <v>46011.0</v>
      </c>
      <c r="AL36" s="271">
        <v>46029.0</v>
      </c>
      <c r="AM36" s="284"/>
      <c r="AN36" s="285">
        <v>46029.0</v>
      </c>
      <c r="AO36" s="262" t="s">
        <v>1921</v>
      </c>
      <c r="AP36" s="294" t="s">
        <v>1922</v>
      </c>
      <c r="AQ36" s="325" t="s">
        <v>1923</v>
      </c>
      <c r="AR36" s="286" t="s">
        <v>1924</v>
      </c>
      <c r="AS36" s="287">
        <v>59280.1</v>
      </c>
      <c r="AT36" s="287"/>
      <c r="AU36" s="288">
        <f>VLOOKUP(I36,DADOS!B:C,2,0)</f>
        <v>2332</v>
      </c>
      <c r="AV36" s="289">
        <f t="shared" si="7"/>
        <v>17360</v>
      </c>
      <c r="AW36" s="290">
        <v>0.33</v>
      </c>
      <c r="AX36" s="290"/>
      <c r="AY36" s="265"/>
      <c r="AZ36" s="291"/>
      <c r="BA36" s="292" t="s">
        <v>156</v>
      </c>
      <c r="BB36" s="293" t="s">
        <v>1925</v>
      </c>
      <c r="BC36" s="294"/>
      <c r="BD36" s="294"/>
      <c r="BE36" s="294"/>
      <c r="BF36" s="294"/>
      <c r="BG36" s="294">
        <f t="shared" si="8"/>
        <v>0</v>
      </c>
      <c r="BH36" s="294"/>
      <c r="BI36" s="294" t="s">
        <v>1926</v>
      </c>
      <c r="BJ36" s="295" t="s">
        <v>1927</v>
      </c>
      <c r="BK36" s="275" t="s">
        <v>429</v>
      </c>
      <c r="BL36" s="297"/>
      <c r="BM36" s="297"/>
      <c r="BN36" s="298"/>
      <c r="BO36" s="299"/>
      <c r="BP36" s="300"/>
      <c r="BQ36" s="300"/>
      <c r="BR36" s="300" t="str">
        <f t="shared" si="9"/>
        <v>#REF!</v>
      </c>
      <c r="BS36" s="300"/>
      <c r="BT36" s="300"/>
    </row>
    <row r="37">
      <c r="A37" s="261">
        <v>9.10215623E9</v>
      </c>
      <c r="B37" s="262" t="s">
        <v>1928</v>
      </c>
      <c r="C37" s="142" t="s">
        <v>1929</v>
      </c>
      <c r="D37" s="142" t="s">
        <v>1930</v>
      </c>
      <c r="E37" s="301" t="s">
        <v>1931</v>
      </c>
      <c r="F37" s="455" t="s">
        <v>211</v>
      </c>
      <c r="G37" s="266" t="s">
        <v>495</v>
      </c>
      <c r="H37" s="302"/>
      <c r="I37" s="268" t="s">
        <v>417</v>
      </c>
      <c r="J37" s="269" t="str">
        <f>VLOOKUP(I37,DADOS!B:F,5,0)</f>
        <v>GILVANDO RIOS DA CRUZ - NTS025538</v>
      </c>
      <c r="K37" s="270" t="s">
        <v>131</v>
      </c>
      <c r="L37" s="262" t="s">
        <v>444</v>
      </c>
      <c r="M37" s="262" t="s">
        <v>91</v>
      </c>
      <c r="N37" s="271"/>
      <c r="O37" s="272"/>
      <c r="P37" s="349">
        <v>46008.0</v>
      </c>
      <c r="Q37" s="456" t="s">
        <v>1932</v>
      </c>
      <c r="R37" s="271">
        <v>46037.0</v>
      </c>
      <c r="S37" s="275" t="s">
        <v>93</v>
      </c>
      <c r="T37" s="275" t="s">
        <v>93</v>
      </c>
      <c r="U37" s="275" t="s">
        <v>93</v>
      </c>
      <c r="V37" s="255" t="s">
        <v>1933</v>
      </c>
      <c r="W37" s="333">
        <v>46054.0</v>
      </c>
      <c r="X37" s="275" t="s">
        <v>93</v>
      </c>
      <c r="Y37" s="276"/>
      <c r="Z37" s="277"/>
      <c r="AA37" s="432"/>
      <c r="AB37" s="304" t="s">
        <v>1934</v>
      </c>
      <c r="AC37" s="262">
        <v>1.0</v>
      </c>
      <c r="AD37" s="262">
        <v>0.0</v>
      </c>
      <c r="AE37" s="262">
        <v>4.0</v>
      </c>
      <c r="AF37" s="262">
        <v>4.0</v>
      </c>
      <c r="AG37" s="280">
        <v>4.0</v>
      </c>
      <c r="AH37" s="281">
        <f t="shared" si="5"/>
        <v>0</v>
      </c>
      <c r="AI37" s="282">
        <f t="shared" si="6"/>
        <v>1</v>
      </c>
      <c r="AJ37" s="283">
        <v>1.0</v>
      </c>
      <c r="AK37" s="271">
        <v>46038.0</v>
      </c>
      <c r="AL37" s="271">
        <v>46044.0</v>
      </c>
      <c r="AM37" s="284"/>
      <c r="AN37" s="285">
        <v>46044.0</v>
      </c>
      <c r="AO37" s="262" t="s">
        <v>1935</v>
      </c>
      <c r="AP37" s="286" t="s">
        <v>1936</v>
      </c>
      <c r="AQ37" s="118" t="s">
        <v>1937</v>
      </c>
      <c r="AR37" s="457" t="s">
        <v>1938</v>
      </c>
      <c r="AS37" s="287">
        <v>23600.15</v>
      </c>
      <c r="AT37" s="287"/>
      <c r="AU37" s="288">
        <f>VLOOKUP(I37,DADOS!B:C,2,0)</f>
        <v>2304</v>
      </c>
      <c r="AV37" s="289">
        <f t="shared" si="7"/>
        <v>9920</v>
      </c>
      <c r="AW37" s="290"/>
      <c r="AX37" s="290"/>
      <c r="AY37" s="265"/>
      <c r="AZ37" s="291"/>
      <c r="BA37" s="292" t="s">
        <v>690</v>
      </c>
      <c r="BB37" s="293" t="s">
        <v>1939</v>
      </c>
      <c r="BC37" s="294"/>
      <c r="BD37" s="294"/>
      <c r="BE37" s="294"/>
      <c r="BF37" s="294"/>
      <c r="BG37" s="294">
        <f t="shared" si="8"/>
        <v>0</v>
      </c>
      <c r="BH37" s="294"/>
      <c r="BI37" s="324" t="s">
        <v>1936</v>
      </c>
      <c r="BJ37" s="424" t="s">
        <v>1940</v>
      </c>
      <c r="BK37" s="425" t="s">
        <v>102</v>
      </c>
      <c r="BL37" s="297"/>
      <c r="BM37" s="297"/>
      <c r="BN37" s="298"/>
      <c r="BO37" s="458" t="s">
        <v>1941</v>
      </c>
      <c r="BP37" s="300"/>
      <c r="BQ37" s="300"/>
      <c r="BR37" s="300" t="str">
        <f t="shared" si="9"/>
        <v>#REF!</v>
      </c>
      <c r="BS37" s="32"/>
      <c r="BT37" s="32"/>
    </row>
    <row r="38">
      <c r="A38" s="261">
        <v>9.102153957E9</v>
      </c>
      <c r="B38" s="262" t="s">
        <v>1942</v>
      </c>
      <c r="C38" s="142" t="s">
        <v>1943</v>
      </c>
      <c r="D38" s="142" t="s">
        <v>1944</v>
      </c>
      <c r="E38" s="265" t="s">
        <v>1945</v>
      </c>
      <c r="F38" s="455" t="s">
        <v>211</v>
      </c>
      <c r="G38" s="266" t="s">
        <v>495</v>
      </c>
      <c r="H38" s="302"/>
      <c r="I38" s="268" t="s">
        <v>417</v>
      </c>
      <c r="J38" s="269" t="str">
        <f>VLOOKUP(I38,DADOS!B:F,5,0)</f>
        <v>GILVANDO RIOS DA CRUZ - NTS025538</v>
      </c>
      <c r="K38" s="270" t="s">
        <v>131</v>
      </c>
      <c r="L38" s="262" t="s">
        <v>444</v>
      </c>
      <c r="M38" s="262" t="s">
        <v>91</v>
      </c>
      <c r="N38" s="271"/>
      <c r="O38" s="272"/>
      <c r="P38" s="349">
        <v>46008.0</v>
      </c>
      <c r="Q38" s="456" t="s">
        <v>1946</v>
      </c>
      <c r="R38" s="271">
        <v>46037.0</v>
      </c>
      <c r="S38" s="275" t="s">
        <v>93</v>
      </c>
      <c r="T38" s="275" t="s">
        <v>93</v>
      </c>
      <c r="U38" s="275" t="s">
        <v>93</v>
      </c>
      <c r="V38" s="255" t="s">
        <v>1947</v>
      </c>
      <c r="W38" s="333">
        <v>46054.0</v>
      </c>
      <c r="X38" s="275" t="s">
        <v>93</v>
      </c>
      <c r="Y38" s="276"/>
      <c r="Z38" s="277"/>
      <c r="AA38" s="432"/>
      <c r="AB38" s="304" t="s">
        <v>1948</v>
      </c>
      <c r="AC38" s="262">
        <v>1.0</v>
      </c>
      <c r="AD38" s="262">
        <v>0.0</v>
      </c>
      <c r="AE38" s="262">
        <v>2.0</v>
      </c>
      <c r="AF38" s="280">
        <v>2.0</v>
      </c>
      <c r="AG38" s="280">
        <v>2.0</v>
      </c>
      <c r="AH38" s="281">
        <f t="shared" si="5"/>
        <v>0</v>
      </c>
      <c r="AI38" s="282">
        <f t="shared" si="6"/>
        <v>1</v>
      </c>
      <c r="AJ38" s="283">
        <v>1.0</v>
      </c>
      <c r="AK38" s="271">
        <v>46038.0</v>
      </c>
      <c r="AL38" s="271">
        <v>46044.0</v>
      </c>
      <c r="AM38" s="284"/>
      <c r="AN38" s="285">
        <v>46043.0</v>
      </c>
      <c r="AO38" s="262" t="s">
        <v>1949</v>
      </c>
      <c r="AP38" s="286" t="s">
        <v>1950</v>
      </c>
      <c r="AQ38" s="118" t="s">
        <v>1951</v>
      </c>
      <c r="AR38" s="286" t="s">
        <v>1952</v>
      </c>
      <c r="AS38" s="287">
        <v>16386.25</v>
      </c>
      <c r="AT38" s="287"/>
      <c r="AU38" s="288">
        <f>VLOOKUP(I38,DADOS!B:C,2,0)</f>
        <v>2304</v>
      </c>
      <c r="AV38" s="289">
        <f t="shared" si="7"/>
        <v>4960</v>
      </c>
      <c r="AW38" s="290"/>
      <c r="AX38" s="290"/>
      <c r="AY38" s="265"/>
      <c r="AZ38" s="291"/>
      <c r="BA38" s="292" t="s">
        <v>260</v>
      </c>
      <c r="BB38" s="293" t="s">
        <v>1953</v>
      </c>
      <c r="BC38" s="459"/>
      <c r="BD38" s="459"/>
      <c r="BE38" s="459"/>
      <c r="BF38" s="459"/>
      <c r="BG38" s="459">
        <f t="shared" si="8"/>
        <v>0</v>
      </c>
      <c r="BH38" s="459"/>
      <c r="BI38" s="324" t="s">
        <v>1950</v>
      </c>
      <c r="BJ38" s="460" t="s">
        <v>1954</v>
      </c>
      <c r="BK38" s="425" t="s">
        <v>102</v>
      </c>
      <c r="BL38" s="297"/>
      <c r="BM38" s="297"/>
      <c r="BN38" s="298"/>
      <c r="BO38" s="399"/>
      <c r="BP38" s="300"/>
      <c r="BQ38" s="300"/>
      <c r="BR38" s="300" t="str">
        <f t="shared" si="9"/>
        <v>#REF!</v>
      </c>
      <c r="BS38" s="131"/>
      <c r="BT38" s="131"/>
    </row>
    <row r="39">
      <c r="A39" s="435">
        <v>9.102157418E9</v>
      </c>
      <c r="B39" s="461" t="s">
        <v>1955</v>
      </c>
      <c r="C39" s="355" t="s">
        <v>1956</v>
      </c>
      <c r="D39" s="264" t="s">
        <v>1957</v>
      </c>
      <c r="E39" s="265" t="s">
        <v>1958</v>
      </c>
      <c r="F39" s="462" t="s">
        <v>1959</v>
      </c>
      <c r="G39" s="463" t="s">
        <v>495</v>
      </c>
      <c r="H39" s="430" t="s">
        <v>1592</v>
      </c>
      <c r="I39" s="268" t="s">
        <v>733</v>
      </c>
      <c r="J39" s="269" t="str">
        <f>VLOOKUP(I39,DADOS!B:F,5,0)</f>
        <v>ETEMILSON OLIVEIRA SANTOS - NTS149530</v>
      </c>
      <c r="K39" s="270" t="s">
        <v>1960</v>
      </c>
      <c r="L39" s="262" t="s">
        <v>11</v>
      </c>
      <c r="M39" s="262" t="s">
        <v>1593</v>
      </c>
      <c r="N39" s="271">
        <v>45985.0</v>
      </c>
      <c r="O39" s="272" t="s">
        <v>1831</v>
      </c>
      <c r="P39" s="252">
        <v>45993.0</v>
      </c>
      <c r="Q39" s="273">
        <v>45993.0</v>
      </c>
      <c r="R39" s="271">
        <v>45999.0</v>
      </c>
      <c r="S39" s="254" t="s">
        <v>1961</v>
      </c>
      <c r="T39" s="274"/>
      <c r="U39" s="275" t="s">
        <v>93</v>
      </c>
      <c r="V39" s="254" t="s">
        <v>1962</v>
      </c>
      <c r="W39" s="274">
        <v>46059.0</v>
      </c>
      <c r="X39" s="275" t="s">
        <v>93</v>
      </c>
      <c r="Y39" s="276"/>
      <c r="Z39" s="277"/>
      <c r="AA39" s="262">
        <v>1043561.0</v>
      </c>
      <c r="AB39" s="304" t="s">
        <v>1963</v>
      </c>
      <c r="AC39" s="262">
        <v>2.0</v>
      </c>
      <c r="AD39" s="263">
        <v>2.0</v>
      </c>
      <c r="AE39" s="262">
        <f>6+1</f>
        <v>7</v>
      </c>
      <c r="AF39" s="262">
        <v>7.0</v>
      </c>
      <c r="AG39" s="280">
        <v>7.0</v>
      </c>
      <c r="AH39" s="281">
        <f t="shared" si="5"/>
        <v>0</v>
      </c>
      <c r="AI39" s="282">
        <f t="shared" si="6"/>
        <v>1</v>
      </c>
      <c r="AJ39" s="283">
        <v>1.0</v>
      </c>
      <c r="AK39" s="271">
        <v>46002.0</v>
      </c>
      <c r="AL39" s="271">
        <v>46003.0</v>
      </c>
      <c r="AM39" s="284"/>
      <c r="AN39" s="285">
        <v>46034.0</v>
      </c>
      <c r="AO39" s="262" t="s">
        <v>1964</v>
      </c>
      <c r="AP39" s="294" t="s">
        <v>1965</v>
      </c>
      <c r="AQ39" s="118" t="s">
        <v>1966</v>
      </c>
      <c r="AR39" s="286" t="s">
        <v>1967</v>
      </c>
      <c r="AS39" s="287">
        <v>47695.29</v>
      </c>
      <c r="AT39" s="287"/>
      <c r="AU39" s="288">
        <f>VLOOKUP(I39,DADOS!B:C,2,0)</f>
        <v>2303</v>
      </c>
      <c r="AV39" s="289">
        <f t="shared" si="7"/>
        <v>17360</v>
      </c>
      <c r="AW39" s="290">
        <v>0.25</v>
      </c>
      <c r="AX39" s="290"/>
      <c r="AY39" s="265"/>
      <c r="AZ39" s="291"/>
      <c r="BA39" s="292" t="s">
        <v>1968</v>
      </c>
      <c r="BB39" s="293" t="s">
        <v>1969</v>
      </c>
      <c r="BC39" s="293"/>
      <c r="BD39" s="293"/>
      <c r="BE39" s="293"/>
      <c r="BF39" s="293"/>
      <c r="BG39" s="293">
        <f t="shared" si="8"/>
        <v>0</v>
      </c>
      <c r="BH39" s="293"/>
      <c r="BI39" s="293" t="s">
        <v>1965</v>
      </c>
      <c r="BJ39" s="295" t="s">
        <v>1970</v>
      </c>
      <c r="BK39" s="434" t="s">
        <v>429</v>
      </c>
      <c r="BL39" s="297"/>
      <c r="BM39" s="297"/>
      <c r="BN39" s="298"/>
      <c r="BO39" s="299"/>
      <c r="BP39" s="300"/>
      <c r="BQ39" s="300"/>
      <c r="BR39" s="300" t="str">
        <f t="shared" si="9"/>
        <v>#REF!</v>
      </c>
      <c r="BS39" s="131"/>
      <c r="BT39" s="131"/>
    </row>
    <row r="40">
      <c r="A40" s="435">
        <v>9.102221283E9</v>
      </c>
      <c r="B40" s="461" t="s">
        <v>1971</v>
      </c>
      <c r="C40" s="355" t="s">
        <v>1972</v>
      </c>
      <c r="D40" s="264" t="s">
        <v>1973</v>
      </c>
      <c r="E40" s="301" t="s">
        <v>1974</v>
      </c>
      <c r="F40" s="462" t="s">
        <v>1959</v>
      </c>
      <c r="G40" s="463" t="s">
        <v>495</v>
      </c>
      <c r="H40" s="430" t="s">
        <v>1592</v>
      </c>
      <c r="I40" s="268" t="s">
        <v>682</v>
      </c>
      <c r="J40" s="269" t="str">
        <f>VLOOKUP(I40,DADOS!B:F,5,0)</f>
        <v>ETEMILSON OLIVEIRA SANTOS - NTS149530</v>
      </c>
      <c r="K40" s="270" t="s">
        <v>1960</v>
      </c>
      <c r="L40" s="262" t="s">
        <v>11</v>
      </c>
      <c r="M40" s="262" t="s">
        <v>1593</v>
      </c>
      <c r="N40" s="271">
        <v>45988.0</v>
      </c>
      <c r="O40" s="272" t="s">
        <v>1975</v>
      </c>
      <c r="P40" s="252">
        <v>45989.0</v>
      </c>
      <c r="Q40" s="341">
        <v>45989.0</v>
      </c>
      <c r="R40" s="271">
        <v>45999.0</v>
      </c>
      <c r="S40" s="275" t="s">
        <v>93</v>
      </c>
      <c r="T40" s="275" t="s">
        <v>93</v>
      </c>
      <c r="U40" s="275" t="s">
        <v>93</v>
      </c>
      <c r="V40" s="464" t="s">
        <v>1976</v>
      </c>
      <c r="W40" s="333">
        <v>46058.0</v>
      </c>
      <c r="X40" s="275" t="s">
        <v>93</v>
      </c>
      <c r="Y40" s="276"/>
      <c r="Z40" s="277"/>
      <c r="AA40" s="368"/>
      <c r="AB40" s="304" t="s">
        <v>1977</v>
      </c>
      <c r="AC40" s="262">
        <f>1+1</f>
        <v>2</v>
      </c>
      <c r="AD40" s="263">
        <v>2.0</v>
      </c>
      <c r="AE40" s="262">
        <f>1+1</f>
        <v>2</v>
      </c>
      <c r="AF40" s="262">
        <v>2.0</v>
      </c>
      <c r="AG40" s="280">
        <v>2.0</v>
      </c>
      <c r="AH40" s="281">
        <f t="shared" si="5"/>
        <v>0</v>
      </c>
      <c r="AI40" s="282">
        <f t="shared" si="6"/>
        <v>1</v>
      </c>
      <c r="AJ40" s="283">
        <v>1.0</v>
      </c>
      <c r="AK40" s="271">
        <v>46001.0</v>
      </c>
      <c r="AL40" s="271">
        <v>46001.0</v>
      </c>
      <c r="AM40" s="284"/>
      <c r="AN40" s="285">
        <v>46028.0</v>
      </c>
      <c r="AO40" s="262" t="s">
        <v>1978</v>
      </c>
      <c r="AP40" s="294" t="s">
        <v>1979</v>
      </c>
      <c r="AQ40" s="118" t="s">
        <v>1980</v>
      </c>
      <c r="AR40" s="286" t="s">
        <v>1981</v>
      </c>
      <c r="AS40" s="287">
        <v>6211.39</v>
      </c>
      <c r="AT40" s="287"/>
      <c r="AU40" s="288">
        <f>VLOOKUP(I40,DADOS!B:C,2,0)</f>
        <v>2349</v>
      </c>
      <c r="AV40" s="289">
        <f t="shared" si="7"/>
        <v>4960</v>
      </c>
      <c r="AW40" s="290">
        <v>0.06</v>
      </c>
      <c r="AX40" s="290"/>
      <c r="AY40" s="265"/>
      <c r="AZ40" s="291"/>
      <c r="BA40" s="292" t="s">
        <v>1968</v>
      </c>
      <c r="BB40" s="293" t="s">
        <v>1982</v>
      </c>
      <c r="BC40" s="294"/>
      <c r="BD40" s="294"/>
      <c r="BE40" s="294"/>
      <c r="BF40" s="294"/>
      <c r="BG40" s="294">
        <f t="shared" si="8"/>
        <v>0</v>
      </c>
      <c r="BH40" s="294"/>
      <c r="BI40" s="294" t="s">
        <v>1979</v>
      </c>
      <c r="BJ40" s="295" t="s">
        <v>1983</v>
      </c>
      <c r="BK40" s="434" t="s">
        <v>429</v>
      </c>
      <c r="BL40" s="297"/>
      <c r="BM40" s="297"/>
      <c r="BN40" s="298"/>
      <c r="BO40" s="299"/>
      <c r="BP40" s="300"/>
      <c r="BQ40" s="300"/>
      <c r="BR40" s="300" t="str">
        <f t="shared" si="9"/>
        <v>#REF!</v>
      </c>
      <c r="BS40" s="32"/>
      <c r="BT40" s="32"/>
    </row>
    <row r="41">
      <c r="A41" s="261">
        <v>9.102352572E9</v>
      </c>
      <c r="B41" s="262" t="s">
        <v>1984</v>
      </c>
      <c r="C41" s="142" t="s">
        <v>1985</v>
      </c>
      <c r="D41" s="142" t="s">
        <v>1986</v>
      </c>
      <c r="E41" s="301" t="s">
        <v>1987</v>
      </c>
      <c r="F41" s="305" t="s">
        <v>211</v>
      </c>
      <c r="G41" s="266" t="s">
        <v>495</v>
      </c>
      <c r="H41" s="302"/>
      <c r="I41" s="268" t="s">
        <v>417</v>
      </c>
      <c r="J41" s="269" t="str">
        <f>VLOOKUP(I41,DADOS!B:F,5,0)</f>
        <v>GILVANDO RIOS DA CRUZ - NTS025538</v>
      </c>
      <c r="K41" s="270" t="s">
        <v>131</v>
      </c>
      <c r="L41" s="262" t="s">
        <v>444</v>
      </c>
      <c r="M41" s="262" t="s">
        <v>105</v>
      </c>
      <c r="N41" s="271"/>
      <c r="O41" s="272"/>
      <c r="P41" s="349">
        <v>46008.0</v>
      </c>
      <c r="Q41" s="456" t="s">
        <v>707</v>
      </c>
      <c r="R41" s="271">
        <v>46037.0</v>
      </c>
      <c r="S41" s="275" t="s">
        <v>93</v>
      </c>
      <c r="T41" s="275" t="s">
        <v>93</v>
      </c>
      <c r="U41" s="275" t="s">
        <v>93</v>
      </c>
      <c r="V41" s="255" t="s">
        <v>1988</v>
      </c>
      <c r="W41" s="333">
        <v>46054.0</v>
      </c>
      <c r="X41" s="275" t="s">
        <v>93</v>
      </c>
      <c r="Y41" s="276"/>
      <c r="Z41" s="277"/>
      <c r="AA41" s="432"/>
      <c r="AB41" s="304" t="s">
        <v>93</v>
      </c>
      <c r="AC41" s="262">
        <v>1.0</v>
      </c>
      <c r="AD41" s="262">
        <v>0.0</v>
      </c>
      <c r="AE41" s="262">
        <v>0.0</v>
      </c>
      <c r="AF41" s="280">
        <v>0.0</v>
      </c>
      <c r="AG41" s="280">
        <v>0.0</v>
      </c>
      <c r="AH41" s="281">
        <f t="shared" si="5"/>
        <v>0</v>
      </c>
      <c r="AI41" s="282">
        <f t="shared" si="6"/>
        <v>0</v>
      </c>
      <c r="AJ41" s="283">
        <v>1.0</v>
      </c>
      <c r="AK41" s="271">
        <v>46039.0</v>
      </c>
      <c r="AL41" s="271">
        <v>46045.0</v>
      </c>
      <c r="AM41" s="284"/>
      <c r="AN41" s="285">
        <v>46044.0</v>
      </c>
      <c r="AO41" s="262" t="s">
        <v>1989</v>
      </c>
      <c r="AP41" s="286" t="s">
        <v>1990</v>
      </c>
      <c r="AQ41" s="118" t="s">
        <v>1991</v>
      </c>
      <c r="AR41" s="286" t="s">
        <v>1992</v>
      </c>
      <c r="AS41" s="287">
        <v>3309.95</v>
      </c>
      <c r="AT41" s="287"/>
      <c r="AU41" s="288">
        <f>VLOOKUP(I41,DADOS!B:C,2,0)</f>
        <v>2304</v>
      </c>
      <c r="AV41" s="289">
        <f t="shared" si="7"/>
        <v>0</v>
      </c>
      <c r="AW41" s="290"/>
      <c r="AX41" s="290"/>
      <c r="AY41" s="265"/>
      <c r="AZ41" s="291"/>
      <c r="BA41" s="292" t="s">
        <v>260</v>
      </c>
      <c r="BB41" s="293" t="s">
        <v>1993</v>
      </c>
      <c r="BC41" s="294"/>
      <c r="BD41" s="294"/>
      <c r="BE41" s="294"/>
      <c r="BF41" s="294"/>
      <c r="BG41" s="294">
        <f t="shared" si="8"/>
        <v>0</v>
      </c>
      <c r="BH41" s="294"/>
      <c r="BI41" s="324" t="s">
        <v>1990</v>
      </c>
      <c r="BJ41" s="424" t="s">
        <v>1994</v>
      </c>
      <c r="BK41" s="425" t="s">
        <v>102</v>
      </c>
      <c r="BL41" s="180"/>
      <c r="BM41" s="180"/>
      <c r="BN41" s="181"/>
      <c r="BO41" s="458" t="s">
        <v>1941</v>
      </c>
      <c r="BP41" s="131"/>
      <c r="BQ41" s="131"/>
      <c r="BR41" s="300" t="str">
        <f t="shared" si="9"/>
        <v>#REF!</v>
      </c>
      <c r="BS41" s="32"/>
      <c r="BT41" s="32"/>
    </row>
    <row r="42">
      <c r="A42" s="261">
        <v>9.102343738E9</v>
      </c>
      <c r="B42" s="262" t="s">
        <v>1995</v>
      </c>
      <c r="C42" s="264" t="s">
        <v>93</v>
      </c>
      <c r="D42" s="264" t="s">
        <v>93</v>
      </c>
      <c r="E42" s="265" t="s">
        <v>1996</v>
      </c>
      <c r="F42" s="455" t="s">
        <v>211</v>
      </c>
      <c r="G42" s="266" t="s">
        <v>495</v>
      </c>
      <c r="H42" s="302"/>
      <c r="I42" s="268" t="s">
        <v>417</v>
      </c>
      <c r="J42" s="269" t="str">
        <f>VLOOKUP(I42,DADOS!B:F,5,0)</f>
        <v>GILVANDO RIOS DA CRUZ - NTS025538</v>
      </c>
      <c r="K42" s="270" t="s">
        <v>131</v>
      </c>
      <c r="L42" s="262" t="s">
        <v>444</v>
      </c>
      <c r="M42" s="262" t="s">
        <v>105</v>
      </c>
      <c r="N42" s="271"/>
      <c r="O42" s="272"/>
      <c r="P42" s="349">
        <v>46008.0</v>
      </c>
      <c r="Q42" s="456" t="s">
        <v>1997</v>
      </c>
      <c r="R42" s="271">
        <v>46037.0</v>
      </c>
      <c r="S42" s="275" t="s">
        <v>93</v>
      </c>
      <c r="T42" s="275" t="s">
        <v>93</v>
      </c>
      <c r="U42" s="275" t="s">
        <v>93</v>
      </c>
      <c r="V42" s="255" t="s">
        <v>1998</v>
      </c>
      <c r="W42" s="333">
        <v>46054.0</v>
      </c>
      <c r="X42" s="275" t="s">
        <v>93</v>
      </c>
      <c r="Y42" s="276"/>
      <c r="Z42" s="277"/>
      <c r="AA42" s="432"/>
      <c r="AB42" s="304"/>
      <c r="AC42" s="262">
        <v>1.0</v>
      </c>
      <c r="AD42" s="262">
        <v>0.0</v>
      </c>
      <c r="AE42" s="262">
        <v>5.0</v>
      </c>
      <c r="AF42" s="280">
        <v>5.0</v>
      </c>
      <c r="AG42" s="280">
        <v>5.0</v>
      </c>
      <c r="AH42" s="281">
        <f t="shared" si="5"/>
        <v>0</v>
      </c>
      <c r="AI42" s="282">
        <f t="shared" si="6"/>
        <v>1</v>
      </c>
      <c r="AJ42" s="283">
        <v>1.0</v>
      </c>
      <c r="AK42" s="271">
        <v>46041.0</v>
      </c>
      <c r="AL42" s="271">
        <v>46045.0</v>
      </c>
      <c r="AM42" s="284"/>
      <c r="AN42" s="285">
        <v>46043.0</v>
      </c>
      <c r="AO42" s="262" t="s">
        <v>1999</v>
      </c>
      <c r="AP42" s="286" t="s">
        <v>2000</v>
      </c>
      <c r="AQ42" s="118" t="s">
        <v>2001</v>
      </c>
      <c r="AR42" s="286" t="s">
        <v>2002</v>
      </c>
      <c r="AS42" s="287">
        <v>31752.5</v>
      </c>
      <c r="AT42" s="287"/>
      <c r="AU42" s="288">
        <f>VLOOKUP(I42,DADOS!B:C,2,0)</f>
        <v>2304</v>
      </c>
      <c r="AV42" s="289">
        <f t="shared" si="7"/>
        <v>12400</v>
      </c>
      <c r="AW42" s="290"/>
      <c r="AX42" s="290"/>
      <c r="AY42" s="265"/>
      <c r="AZ42" s="291"/>
      <c r="BA42" s="292" t="s">
        <v>260</v>
      </c>
      <c r="BB42" s="293" t="s">
        <v>2003</v>
      </c>
      <c r="BC42" s="294"/>
      <c r="BD42" s="294"/>
      <c r="BE42" s="294"/>
      <c r="BF42" s="294"/>
      <c r="BG42" s="294">
        <f t="shared" si="8"/>
        <v>0</v>
      </c>
      <c r="BH42" s="294"/>
      <c r="BI42" s="324" t="s">
        <v>2000</v>
      </c>
      <c r="BJ42" s="424" t="s">
        <v>2004</v>
      </c>
      <c r="BK42" s="425" t="s">
        <v>102</v>
      </c>
      <c r="BL42" s="297"/>
      <c r="BM42" s="297"/>
      <c r="BN42" s="298"/>
      <c r="BO42" s="465" t="s">
        <v>1941</v>
      </c>
      <c r="BP42" s="300"/>
      <c r="BQ42" s="300"/>
      <c r="BR42" s="300" t="str">
        <f t="shared" si="9"/>
        <v>#REF!</v>
      </c>
      <c r="BS42" s="32"/>
      <c r="BT42" s="32"/>
    </row>
    <row r="43">
      <c r="A43" s="261">
        <v>9.102347945E9</v>
      </c>
      <c r="B43" s="262" t="s">
        <v>2005</v>
      </c>
      <c r="C43" s="355" t="s">
        <v>2006</v>
      </c>
      <c r="D43" s="264" t="s">
        <v>2007</v>
      </c>
      <c r="E43" s="466" t="s">
        <v>2008</v>
      </c>
      <c r="F43" s="455" t="s">
        <v>211</v>
      </c>
      <c r="G43" s="266" t="s">
        <v>495</v>
      </c>
      <c r="H43" s="302"/>
      <c r="I43" s="268" t="s">
        <v>417</v>
      </c>
      <c r="J43" s="269" t="str">
        <f>VLOOKUP(I43,DADOS!B:F,5,0)</f>
        <v>GILVANDO RIOS DA CRUZ - NTS025538</v>
      </c>
      <c r="K43" s="270" t="s">
        <v>131</v>
      </c>
      <c r="L43" s="262" t="s">
        <v>11</v>
      </c>
      <c r="M43" s="262" t="s">
        <v>2009</v>
      </c>
      <c r="N43" s="271"/>
      <c r="O43" s="272"/>
      <c r="P43" s="349">
        <v>46008.0</v>
      </c>
      <c r="Q43" s="422">
        <v>46010.0</v>
      </c>
      <c r="R43" s="271">
        <v>46037.0</v>
      </c>
      <c r="S43" s="275" t="s">
        <v>93</v>
      </c>
      <c r="T43" s="275" t="s">
        <v>93</v>
      </c>
      <c r="U43" s="275" t="s">
        <v>93</v>
      </c>
      <c r="V43" s="255" t="s">
        <v>2010</v>
      </c>
      <c r="W43" s="333">
        <v>46054.0</v>
      </c>
      <c r="X43" s="275" t="s">
        <v>93</v>
      </c>
      <c r="Y43" s="276"/>
      <c r="Z43" s="277"/>
      <c r="AA43" s="432" t="s">
        <v>2011</v>
      </c>
      <c r="AB43" s="321" t="s">
        <v>2012</v>
      </c>
      <c r="AC43" s="262">
        <v>1.0</v>
      </c>
      <c r="AD43" s="263">
        <v>1.0</v>
      </c>
      <c r="AE43" s="262">
        <v>7.0</v>
      </c>
      <c r="AF43" s="280">
        <v>7.0</v>
      </c>
      <c r="AG43" s="280">
        <v>7.0</v>
      </c>
      <c r="AH43" s="281">
        <f t="shared" si="5"/>
        <v>0</v>
      </c>
      <c r="AI43" s="282">
        <f t="shared" si="6"/>
        <v>1</v>
      </c>
      <c r="AJ43" s="283">
        <v>1.0</v>
      </c>
      <c r="AK43" s="271">
        <v>46041.0</v>
      </c>
      <c r="AL43" s="271">
        <v>46045.0</v>
      </c>
      <c r="AM43" s="284"/>
      <c r="AN43" s="285">
        <v>46038.0</v>
      </c>
      <c r="AO43" s="262" t="s">
        <v>2013</v>
      </c>
      <c r="AP43" s="286" t="s">
        <v>2014</v>
      </c>
      <c r="AQ43" s="118" t="s">
        <v>2015</v>
      </c>
      <c r="AR43" s="286" t="s">
        <v>2016</v>
      </c>
      <c r="AS43" s="287">
        <v>44964.08</v>
      </c>
      <c r="AT43" s="287"/>
      <c r="AU43" s="288">
        <f>VLOOKUP(I43,DADOS!B:C,2,0)</f>
        <v>2304</v>
      </c>
      <c r="AV43" s="289">
        <f t="shared" si="7"/>
        <v>17360</v>
      </c>
      <c r="AW43" s="290"/>
      <c r="AX43" s="290"/>
      <c r="AY43" s="265"/>
      <c r="AZ43" s="291"/>
      <c r="BA43" s="292" t="s">
        <v>260</v>
      </c>
      <c r="BB43" s="293" t="s">
        <v>2017</v>
      </c>
      <c r="BC43" s="459"/>
      <c r="BD43" s="459"/>
      <c r="BE43" s="459"/>
      <c r="BF43" s="459"/>
      <c r="BG43" s="459">
        <f t="shared" si="8"/>
        <v>0</v>
      </c>
      <c r="BH43" s="459"/>
      <c r="BI43" s="324" t="s">
        <v>2014</v>
      </c>
      <c r="BJ43" s="460" t="s">
        <v>2018</v>
      </c>
      <c r="BK43" s="425" t="s">
        <v>102</v>
      </c>
      <c r="BL43" s="297"/>
      <c r="BM43" s="297"/>
      <c r="BN43" s="298"/>
      <c r="BO43" s="299"/>
      <c r="BP43" s="300"/>
      <c r="BQ43" s="300"/>
      <c r="BR43" s="300" t="str">
        <f t="shared" si="9"/>
        <v>#REF!</v>
      </c>
      <c r="BS43" s="32"/>
      <c r="BT43" s="32"/>
    </row>
    <row r="44">
      <c r="A44" s="437">
        <v>9.102356039E9</v>
      </c>
      <c r="B44" s="262" t="s">
        <v>2019</v>
      </c>
      <c r="C44" s="264" t="s">
        <v>93</v>
      </c>
      <c r="D44" s="264" t="s">
        <v>93</v>
      </c>
      <c r="E44" s="265" t="s">
        <v>2020</v>
      </c>
      <c r="F44" s="305" t="s">
        <v>211</v>
      </c>
      <c r="G44" s="266" t="s">
        <v>495</v>
      </c>
      <c r="H44" s="267"/>
      <c r="I44" s="268" t="s">
        <v>682</v>
      </c>
      <c r="J44" s="269" t="str">
        <f>VLOOKUP(I44,DADOS!B:F,5,0)</f>
        <v>ETEMILSON OLIVEIRA SANTOS - NTS149530</v>
      </c>
      <c r="K44" s="270" t="s">
        <v>131</v>
      </c>
      <c r="L44" s="303" t="s">
        <v>4</v>
      </c>
      <c r="M44" s="262" t="s">
        <v>105</v>
      </c>
      <c r="N44" s="271"/>
      <c r="O44" s="272"/>
      <c r="P44" s="252">
        <v>46015.0</v>
      </c>
      <c r="Q44" s="351">
        <v>46027.0</v>
      </c>
      <c r="R44" s="271">
        <v>46031.0</v>
      </c>
      <c r="S44" s="254" t="s">
        <v>2021</v>
      </c>
      <c r="T44" s="274">
        <v>46054.0</v>
      </c>
      <c r="U44" s="275" t="s">
        <v>93</v>
      </c>
      <c r="V44" s="255" t="str">
        <f>S44</f>
        <v>2025-162658</v>
      </c>
      <c r="W44" s="274">
        <v>46054.0</v>
      </c>
      <c r="X44" s="275" t="s">
        <v>93</v>
      </c>
      <c r="Y44" s="276"/>
      <c r="Z44" s="277"/>
      <c r="AA44" s="440" t="s">
        <v>2022</v>
      </c>
      <c r="AB44" s="321" t="s">
        <v>2023</v>
      </c>
      <c r="AC44" s="262">
        <v>5.0</v>
      </c>
      <c r="AD44" s="262">
        <v>0.0</v>
      </c>
      <c r="AE44" s="262">
        <v>41.0</v>
      </c>
      <c r="AF44" s="280">
        <v>41.0</v>
      </c>
      <c r="AG44" s="280">
        <v>41.0</v>
      </c>
      <c r="AH44" s="281">
        <f t="shared" si="5"/>
        <v>0</v>
      </c>
      <c r="AI44" s="282">
        <f t="shared" si="6"/>
        <v>1</v>
      </c>
      <c r="AJ44" s="283">
        <v>0.5</v>
      </c>
      <c r="AK44" s="271">
        <v>46029.0</v>
      </c>
      <c r="AL44" s="271">
        <v>46052.0</v>
      </c>
      <c r="AM44" s="284"/>
      <c r="AN44" s="285">
        <v>46048.0</v>
      </c>
      <c r="AO44" s="262" t="s">
        <v>2024</v>
      </c>
      <c r="AP44" s="286" t="s">
        <v>2025</v>
      </c>
      <c r="AQ44" s="118" t="s">
        <v>2026</v>
      </c>
      <c r="AR44" s="286" t="s">
        <v>2027</v>
      </c>
      <c r="AS44" s="287">
        <v>433464.77</v>
      </c>
      <c r="AT44" s="287"/>
      <c r="AU44" s="288">
        <f>VLOOKUP(I44,DADOS!B:C,2,0)</f>
        <v>2349</v>
      </c>
      <c r="AV44" s="289">
        <f t="shared" si="7"/>
        <v>101680</v>
      </c>
      <c r="AW44" s="290"/>
      <c r="AX44" s="290"/>
      <c r="AY44" s="265"/>
      <c r="AZ44" s="291"/>
      <c r="BA44" s="292" t="s">
        <v>254</v>
      </c>
      <c r="BB44" s="293" t="s">
        <v>2028</v>
      </c>
      <c r="BC44" s="294"/>
      <c r="BD44" s="294"/>
      <c r="BE44" s="294"/>
      <c r="BF44" s="294"/>
      <c r="BG44" s="294">
        <f t="shared" si="8"/>
        <v>0</v>
      </c>
      <c r="BH44" s="294"/>
      <c r="BI44" s="324" t="s">
        <v>2025</v>
      </c>
      <c r="BJ44" s="295" t="s">
        <v>2029</v>
      </c>
      <c r="BK44" s="425" t="s">
        <v>102</v>
      </c>
      <c r="BL44" s="297"/>
      <c r="BM44" s="297"/>
      <c r="BN44" s="298"/>
      <c r="BO44" s="299" t="s">
        <v>2030</v>
      </c>
      <c r="BP44" s="300"/>
      <c r="BQ44" s="300"/>
      <c r="BR44" s="300" t="str">
        <f t="shared" si="9"/>
        <v>#REF!</v>
      </c>
      <c r="BS44" s="300"/>
      <c r="BT44" s="300"/>
    </row>
    <row r="45">
      <c r="A45" s="140">
        <v>9.101893077E9</v>
      </c>
      <c r="B45" s="141" t="s">
        <v>223</v>
      </c>
      <c r="C45" s="142" t="s">
        <v>224</v>
      </c>
      <c r="D45" s="142" t="s">
        <v>225</v>
      </c>
      <c r="E45" s="172" t="s">
        <v>226</v>
      </c>
      <c r="F45" s="144" t="s">
        <v>211</v>
      </c>
      <c r="G45" s="145" t="s">
        <v>124</v>
      </c>
      <c r="H45" s="146" t="s">
        <v>2031</v>
      </c>
      <c r="I45" s="147" t="s">
        <v>584</v>
      </c>
      <c r="J45" s="148" t="str">
        <f>VLOOKUP(I45,DADOS!B:F,5,0)</f>
        <v>GILVANDO RIOS DA CRUZ - NTS025538</v>
      </c>
      <c r="K45" s="149" t="s">
        <v>131</v>
      </c>
      <c r="L45" s="141" t="s">
        <v>16</v>
      </c>
      <c r="M45" s="141" t="s">
        <v>91</v>
      </c>
      <c r="N45" s="150">
        <v>46010.0</v>
      </c>
      <c r="O45" s="151"/>
      <c r="P45" s="467">
        <v>46014.0</v>
      </c>
      <c r="Q45" s="468">
        <v>46014.0</v>
      </c>
      <c r="R45" s="150"/>
      <c r="S45" s="153" t="s">
        <v>2032</v>
      </c>
      <c r="T45" s="154">
        <v>46054.0</v>
      </c>
      <c r="U45" s="153" t="s">
        <v>93</v>
      </c>
      <c r="V45" s="348" t="s">
        <v>2033</v>
      </c>
      <c r="W45" s="154">
        <v>46054.0</v>
      </c>
      <c r="X45" s="153" t="s">
        <v>93</v>
      </c>
      <c r="Y45" s="157"/>
      <c r="Z45" s="158"/>
      <c r="AA45" s="343" t="s">
        <v>2034</v>
      </c>
      <c r="AB45" s="160" t="s">
        <v>228</v>
      </c>
      <c r="AC45" s="141">
        <v>1.0</v>
      </c>
      <c r="AD45" s="141" t="s">
        <v>2035</v>
      </c>
      <c r="AE45" s="141">
        <v>9.0</v>
      </c>
      <c r="AF45" s="161"/>
      <c r="AG45" s="161"/>
      <c r="AH45" s="162">
        <f t="shared" si="5"/>
        <v>9</v>
      </c>
      <c r="AI45" s="163">
        <f t="shared" si="6"/>
        <v>0</v>
      </c>
      <c r="AJ45" s="189"/>
      <c r="AK45" s="150">
        <v>46041.0</v>
      </c>
      <c r="AL45" s="150">
        <v>46045.0</v>
      </c>
      <c r="AM45" s="164"/>
      <c r="AN45" s="428">
        <v>46052.0</v>
      </c>
      <c r="AO45" s="141"/>
      <c r="AP45" s="166" t="s">
        <v>229</v>
      </c>
      <c r="AQ45" s="191" t="s">
        <v>230</v>
      </c>
      <c r="AR45" s="166" t="s">
        <v>231</v>
      </c>
      <c r="AS45" s="168">
        <v>36023.21</v>
      </c>
      <c r="AT45" s="168"/>
      <c r="AU45" s="169">
        <f>VLOOKUP(I45,DADOS!B:C,2,0)</f>
        <v>2381</v>
      </c>
      <c r="AV45" s="170">
        <f t="shared" si="7"/>
        <v>22320</v>
      </c>
      <c r="AW45" s="171"/>
      <c r="AX45" s="171"/>
      <c r="AY45" s="172"/>
      <c r="AZ45" s="173"/>
      <c r="BA45" s="174" t="s">
        <v>232</v>
      </c>
      <c r="BB45" s="175" t="s">
        <v>233</v>
      </c>
      <c r="BC45" s="175"/>
      <c r="BD45" s="175"/>
      <c r="BE45" s="175"/>
      <c r="BF45" s="175"/>
      <c r="BG45" s="175">
        <f t="shared" si="8"/>
        <v>0</v>
      </c>
      <c r="BH45" s="175"/>
      <c r="BI45" s="174" t="s">
        <v>229</v>
      </c>
      <c r="BJ45" s="178" t="s">
        <v>234</v>
      </c>
      <c r="BK45" s="469" t="s">
        <v>102</v>
      </c>
      <c r="BL45" s="129"/>
      <c r="BM45" s="129"/>
      <c r="BN45" s="36"/>
      <c r="BO45" s="130"/>
      <c r="BP45" s="32"/>
      <c r="BQ45" s="32"/>
      <c r="BR45" s="300" t="str">
        <f t="shared" si="9"/>
        <v>#REF!</v>
      </c>
      <c r="BS45" s="300"/>
      <c r="BT45" s="300"/>
    </row>
    <row r="46">
      <c r="A46" s="435">
        <v>9.102152417E9</v>
      </c>
      <c r="B46" s="461" t="s">
        <v>2036</v>
      </c>
      <c r="C46" s="355" t="s">
        <v>2037</v>
      </c>
      <c r="D46" s="264" t="s">
        <v>2038</v>
      </c>
      <c r="E46" s="265" t="s">
        <v>2039</v>
      </c>
      <c r="F46" s="462" t="s">
        <v>1959</v>
      </c>
      <c r="G46" s="463" t="s">
        <v>495</v>
      </c>
      <c r="H46" s="430" t="s">
        <v>1592</v>
      </c>
      <c r="I46" s="268" t="s">
        <v>733</v>
      </c>
      <c r="J46" s="269" t="str">
        <f>VLOOKUP(I46,DADOS!B:F,5,0)</f>
        <v>ETEMILSON OLIVEIRA SANTOS - NTS149530</v>
      </c>
      <c r="K46" s="270" t="s">
        <v>1960</v>
      </c>
      <c r="L46" s="262" t="s">
        <v>11</v>
      </c>
      <c r="M46" s="262" t="s">
        <v>1593</v>
      </c>
      <c r="N46" s="271">
        <v>45985.0</v>
      </c>
      <c r="O46" s="272" t="s">
        <v>1831</v>
      </c>
      <c r="P46" s="252">
        <v>45993.0</v>
      </c>
      <c r="Q46" s="273">
        <v>45993.0</v>
      </c>
      <c r="R46" s="271">
        <v>45999.0</v>
      </c>
      <c r="S46" s="254" t="s">
        <v>2040</v>
      </c>
      <c r="T46" s="274"/>
      <c r="U46" s="275" t="s">
        <v>93</v>
      </c>
      <c r="V46" s="255" t="s">
        <v>2041</v>
      </c>
      <c r="W46" s="274">
        <v>46059.0</v>
      </c>
      <c r="X46" s="275" t="s">
        <v>93</v>
      </c>
      <c r="Y46" s="276"/>
      <c r="Z46" s="277"/>
      <c r="AA46" s="470"/>
      <c r="AB46" s="304" t="s">
        <v>2042</v>
      </c>
      <c r="AC46" s="262">
        <f>1+1</f>
        <v>2</v>
      </c>
      <c r="AD46" s="263">
        <v>2.0</v>
      </c>
      <c r="AE46" s="262">
        <f>4+1</f>
        <v>5</v>
      </c>
      <c r="AF46" s="262">
        <v>5.0</v>
      </c>
      <c r="AG46" s="280">
        <v>5.0</v>
      </c>
      <c r="AH46" s="281">
        <f t="shared" si="5"/>
        <v>0</v>
      </c>
      <c r="AI46" s="282">
        <f t="shared" si="6"/>
        <v>1</v>
      </c>
      <c r="AJ46" s="283">
        <v>1.0</v>
      </c>
      <c r="AK46" s="271">
        <v>46006.0</v>
      </c>
      <c r="AL46" s="271">
        <v>46029.0</v>
      </c>
      <c r="AM46" s="284"/>
      <c r="AN46" s="285">
        <v>46029.0</v>
      </c>
      <c r="AO46" s="262" t="s">
        <v>2043</v>
      </c>
      <c r="AP46" s="294" t="s">
        <v>2044</v>
      </c>
      <c r="AQ46" s="118" t="s">
        <v>2045</v>
      </c>
      <c r="AR46" s="286" t="s">
        <v>2046</v>
      </c>
      <c r="AS46" s="287">
        <v>38282.08</v>
      </c>
      <c r="AT46" s="287"/>
      <c r="AU46" s="288">
        <f>VLOOKUP(I46,DADOS!B:C,2,0)</f>
        <v>2303</v>
      </c>
      <c r="AV46" s="289">
        <f t="shared" si="7"/>
        <v>12400</v>
      </c>
      <c r="AW46" s="290">
        <v>0.185</v>
      </c>
      <c r="AX46" s="290"/>
      <c r="AY46" s="265"/>
      <c r="AZ46" s="291"/>
      <c r="BA46" s="292" t="s">
        <v>2047</v>
      </c>
      <c r="BB46" s="293" t="s">
        <v>2048</v>
      </c>
      <c r="BC46" s="293"/>
      <c r="BD46" s="293"/>
      <c r="BE46" s="293"/>
      <c r="BF46" s="293"/>
      <c r="BG46" s="293">
        <f t="shared" si="8"/>
        <v>0</v>
      </c>
      <c r="BH46" s="293"/>
      <c r="BI46" s="293" t="s">
        <v>2044</v>
      </c>
      <c r="BJ46" s="295" t="s">
        <v>2049</v>
      </c>
      <c r="BK46" s="471" t="s">
        <v>429</v>
      </c>
      <c r="BL46" s="297"/>
      <c r="BM46" s="297"/>
      <c r="BN46" s="298"/>
      <c r="BO46" s="299"/>
      <c r="BP46" s="300"/>
      <c r="BQ46" s="300"/>
      <c r="BR46" s="300" t="str">
        <f t="shared" si="9"/>
        <v>#REF!</v>
      </c>
      <c r="BS46" s="300"/>
      <c r="BT46" s="300"/>
    </row>
    <row r="47">
      <c r="A47" s="261">
        <v>9.102134809E9</v>
      </c>
      <c r="B47" s="262" t="s">
        <v>2050</v>
      </c>
      <c r="C47" s="142" t="s">
        <v>2051</v>
      </c>
      <c r="D47" s="142" t="s">
        <v>2052</v>
      </c>
      <c r="E47" s="301" t="s">
        <v>2053</v>
      </c>
      <c r="F47" s="305" t="s">
        <v>977</v>
      </c>
      <c r="G47" s="266" t="s">
        <v>495</v>
      </c>
      <c r="H47" s="302"/>
      <c r="I47" s="268" t="s">
        <v>733</v>
      </c>
      <c r="J47" s="269" t="str">
        <f>VLOOKUP(I47,DADOS!B:F,5,0)</f>
        <v>ETEMILSON OLIVEIRA SANTOS - NTS149530</v>
      </c>
      <c r="K47" s="270" t="s">
        <v>608</v>
      </c>
      <c r="L47" s="262" t="s">
        <v>444</v>
      </c>
      <c r="M47" s="262" t="s">
        <v>1013</v>
      </c>
      <c r="N47" s="271"/>
      <c r="O47" s="272"/>
      <c r="P47" s="349">
        <v>46009.0</v>
      </c>
      <c r="Q47" s="422">
        <v>46010.0</v>
      </c>
      <c r="R47" s="271">
        <v>46031.0</v>
      </c>
      <c r="S47" s="275" t="s">
        <v>93</v>
      </c>
      <c r="T47" s="275" t="s">
        <v>93</v>
      </c>
      <c r="U47" s="275" t="s">
        <v>93</v>
      </c>
      <c r="V47" s="255" t="str">
        <f>X47</f>
        <v>2025-162608</v>
      </c>
      <c r="W47" s="333"/>
      <c r="X47" s="254" t="s">
        <v>2054</v>
      </c>
      <c r="Y47" s="276">
        <v>46038.0</v>
      </c>
      <c r="Z47" s="277" t="s">
        <v>448</v>
      </c>
      <c r="AA47" s="432"/>
      <c r="AB47" s="304" t="s">
        <v>2055</v>
      </c>
      <c r="AC47" s="262">
        <v>1.0</v>
      </c>
      <c r="AD47" s="262">
        <v>0.0</v>
      </c>
      <c r="AE47" s="262">
        <v>2.0</v>
      </c>
      <c r="AF47" s="280">
        <v>2.0</v>
      </c>
      <c r="AG47" s="280">
        <v>2.0</v>
      </c>
      <c r="AH47" s="281">
        <f t="shared" si="5"/>
        <v>0</v>
      </c>
      <c r="AI47" s="282">
        <f t="shared" si="6"/>
        <v>1</v>
      </c>
      <c r="AJ47" s="283">
        <v>1.0</v>
      </c>
      <c r="AK47" s="271">
        <v>46038.0</v>
      </c>
      <c r="AL47" s="271">
        <v>46038.0</v>
      </c>
      <c r="AM47" s="284"/>
      <c r="AN47" s="285">
        <v>46038.0</v>
      </c>
      <c r="AO47" s="262" t="s">
        <v>2056</v>
      </c>
      <c r="AP47" s="286" t="s">
        <v>2057</v>
      </c>
      <c r="AQ47" s="118" t="s">
        <v>2058</v>
      </c>
      <c r="AR47" s="286" t="s">
        <v>2059</v>
      </c>
      <c r="AS47" s="287">
        <v>11698.25</v>
      </c>
      <c r="AT47" s="287"/>
      <c r="AU47" s="288">
        <f>VLOOKUP(I47,DADOS!B:C,2,0)</f>
        <v>2303</v>
      </c>
      <c r="AV47" s="289">
        <f t="shared" si="7"/>
        <v>4960</v>
      </c>
      <c r="AW47" s="290"/>
      <c r="AX47" s="290"/>
      <c r="AY47" s="265"/>
      <c r="AZ47" s="291"/>
      <c r="BA47" s="292" t="s">
        <v>985</v>
      </c>
      <c r="BB47" s="293" t="s">
        <v>2060</v>
      </c>
      <c r="BC47" s="294"/>
      <c r="BD47" s="294"/>
      <c r="BE47" s="294"/>
      <c r="BF47" s="294"/>
      <c r="BG47" s="334">
        <f t="shared" si="8"/>
        <v>0</v>
      </c>
      <c r="BH47" s="294"/>
      <c r="BI47" s="286" t="s">
        <v>2057</v>
      </c>
      <c r="BJ47" s="433" t="s">
        <v>2061</v>
      </c>
      <c r="BK47" s="317" t="s">
        <v>102</v>
      </c>
      <c r="BL47" s="297"/>
      <c r="BM47" s="297"/>
      <c r="BN47" s="298"/>
      <c r="BO47" s="299"/>
      <c r="BP47" s="300"/>
      <c r="BQ47" s="300"/>
      <c r="BR47" s="300" t="str">
        <f t="shared" si="9"/>
        <v>#REF!</v>
      </c>
      <c r="BS47" s="300"/>
      <c r="BT47" s="300"/>
    </row>
    <row r="48">
      <c r="A48" s="437">
        <v>9.10193717E9</v>
      </c>
      <c r="B48" s="262" t="s">
        <v>2062</v>
      </c>
      <c r="C48" s="142" t="s">
        <v>2063</v>
      </c>
      <c r="D48" s="142" t="s">
        <v>2064</v>
      </c>
      <c r="E48" s="265" t="s">
        <v>2065</v>
      </c>
      <c r="F48" s="305" t="s">
        <v>977</v>
      </c>
      <c r="G48" s="266" t="s">
        <v>495</v>
      </c>
      <c r="H48" s="302"/>
      <c r="I48" s="268" t="s">
        <v>512</v>
      </c>
      <c r="J48" s="269" t="str">
        <f>VLOOKUP(I48,DADOS!B:F,5,0)</f>
        <v>ETEMILSON OLIVEIRA SANTOS - NTS149530</v>
      </c>
      <c r="K48" s="270" t="s">
        <v>608</v>
      </c>
      <c r="L48" s="262" t="s">
        <v>1285</v>
      </c>
      <c r="M48" s="262" t="s">
        <v>559</v>
      </c>
      <c r="N48" s="271"/>
      <c r="O48" s="272"/>
      <c r="P48" s="349">
        <v>46009.0</v>
      </c>
      <c r="Q48" s="472">
        <v>46010.0</v>
      </c>
      <c r="R48" s="271">
        <v>46031.0</v>
      </c>
      <c r="S48" s="254" t="s">
        <v>2066</v>
      </c>
      <c r="T48" s="274">
        <v>46054.0</v>
      </c>
      <c r="U48" s="275" t="s">
        <v>93</v>
      </c>
      <c r="V48" s="255" t="s">
        <v>2067</v>
      </c>
      <c r="W48" s="274">
        <v>46054.0</v>
      </c>
      <c r="X48" s="275" t="s">
        <v>93</v>
      </c>
      <c r="Y48" s="276"/>
      <c r="Z48" s="277"/>
      <c r="AA48" s="432"/>
      <c r="AB48" s="304" t="s">
        <v>2068</v>
      </c>
      <c r="AC48" s="262">
        <v>1.0</v>
      </c>
      <c r="AD48" s="262">
        <v>0.0</v>
      </c>
      <c r="AE48" s="262">
        <v>3.0</v>
      </c>
      <c r="AF48" s="280">
        <v>3.0</v>
      </c>
      <c r="AG48" s="280">
        <v>3.0</v>
      </c>
      <c r="AH48" s="281">
        <f t="shared" si="5"/>
        <v>0</v>
      </c>
      <c r="AI48" s="282">
        <f t="shared" si="6"/>
        <v>1</v>
      </c>
      <c r="AJ48" s="283">
        <v>0.5</v>
      </c>
      <c r="AK48" s="271">
        <v>46041.0</v>
      </c>
      <c r="AL48" s="271">
        <v>46043.0</v>
      </c>
      <c r="AM48" s="284"/>
      <c r="AN48" s="285">
        <v>46042.0</v>
      </c>
      <c r="AO48" s="262" t="s">
        <v>2069</v>
      </c>
      <c r="AP48" s="286" t="s">
        <v>2070</v>
      </c>
      <c r="AQ48" s="118" t="s">
        <v>2071</v>
      </c>
      <c r="AR48" s="286" t="s">
        <v>2072</v>
      </c>
      <c r="AS48" s="287">
        <v>44662.95</v>
      </c>
      <c r="AT48" s="287"/>
      <c r="AU48" s="288">
        <f>VLOOKUP(I48,DADOS!B:C,2,0)</f>
        <v>2299</v>
      </c>
      <c r="AV48" s="289">
        <f t="shared" si="7"/>
        <v>7440</v>
      </c>
      <c r="AW48" s="290"/>
      <c r="AX48" s="290"/>
      <c r="AY48" s="265"/>
      <c r="AZ48" s="291"/>
      <c r="BA48" s="292" t="s">
        <v>2073</v>
      </c>
      <c r="BB48" s="293" t="s">
        <v>2074</v>
      </c>
      <c r="BC48" s="294"/>
      <c r="BD48" s="294"/>
      <c r="BE48" s="294"/>
      <c r="BF48" s="294"/>
      <c r="BG48" s="294">
        <f t="shared" si="8"/>
        <v>0</v>
      </c>
      <c r="BH48" s="294"/>
      <c r="BI48" s="324" t="s">
        <v>2070</v>
      </c>
      <c r="BJ48" s="295" t="s">
        <v>2075</v>
      </c>
      <c r="BK48" s="425" t="s">
        <v>102</v>
      </c>
      <c r="BL48" s="129"/>
      <c r="BM48" s="129"/>
      <c r="BN48" s="36"/>
      <c r="BO48" s="130"/>
      <c r="BP48" s="32"/>
      <c r="BQ48" s="32"/>
      <c r="BR48" s="300" t="str">
        <f t="shared" si="9"/>
        <v>#REF!</v>
      </c>
      <c r="BS48" s="300"/>
      <c r="BT48" s="300"/>
    </row>
    <row r="49">
      <c r="A49" s="261">
        <v>9.102349618E9</v>
      </c>
      <c r="B49" s="262" t="s">
        <v>2076</v>
      </c>
      <c r="C49" s="264" t="s">
        <v>93</v>
      </c>
      <c r="D49" s="264" t="s">
        <v>93</v>
      </c>
      <c r="E49" s="265" t="s">
        <v>1167</v>
      </c>
      <c r="F49" s="305" t="s">
        <v>977</v>
      </c>
      <c r="G49" s="266" t="s">
        <v>495</v>
      </c>
      <c r="H49" s="302" t="s">
        <v>2077</v>
      </c>
      <c r="I49" s="268" t="s">
        <v>512</v>
      </c>
      <c r="J49" s="269" t="str">
        <f>VLOOKUP(I49,DADOS!B:F,5,0)</f>
        <v>ETEMILSON OLIVEIRA SANTOS - NTS149530</v>
      </c>
      <c r="K49" s="270" t="s">
        <v>608</v>
      </c>
      <c r="L49" s="262" t="s">
        <v>1285</v>
      </c>
      <c r="M49" s="262" t="s">
        <v>105</v>
      </c>
      <c r="N49" s="271"/>
      <c r="O49" s="272"/>
      <c r="P49" s="349">
        <v>46009.0</v>
      </c>
      <c r="Q49" s="472">
        <v>46010.0</v>
      </c>
      <c r="R49" s="271">
        <v>46031.0</v>
      </c>
      <c r="S49" s="275" t="s">
        <v>93</v>
      </c>
      <c r="T49" s="275" t="s">
        <v>93</v>
      </c>
      <c r="U49" s="275" t="s">
        <v>93</v>
      </c>
      <c r="V49" s="296" t="s">
        <v>2078</v>
      </c>
      <c r="W49" s="333"/>
      <c r="X49" s="296" t="s">
        <v>2079</v>
      </c>
      <c r="Y49" s="276"/>
      <c r="Z49" s="277" t="s">
        <v>162</v>
      </c>
      <c r="AA49" s="432"/>
      <c r="AB49" s="304" t="s">
        <v>2080</v>
      </c>
      <c r="AC49" s="262">
        <v>1.0</v>
      </c>
      <c r="AD49" s="262">
        <v>0.0</v>
      </c>
      <c r="AE49" s="262">
        <v>4.0</v>
      </c>
      <c r="AF49" s="280">
        <v>4.0</v>
      </c>
      <c r="AG49" s="280">
        <v>4.0</v>
      </c>
      <c r="AH49" s="281">
        <f t="shared" si="5"/>
        <v>0</v>
      </c>
      <c r="AI49" s="282">
        <f t="shared" si="6"/>
        <v>1</v>
      </c>
      <c r="AJ49" s="283">
        <v>1.0</v>
      </c>
      <c r="AK49" s="271">
        <v>46028.0</v>
      </c>
      <c r="AL49" s="271">
        <v>46029.0</v>
      </c>
      <c r="AM49" s="284"/>
      <c r="AN49" s="285">
        <v>46028.0</v>
      </c>
      <c r="AO49" s="262" t="s">
        <v>2081</v>
      </c>
      <c r="AP49" s="286" t="s">
        <v>2082</v>
      </c>
      <c r="AQ49" s="325" t="s">
        <v>2083</v>
      </c>
      <c r="AR49" s="286" t="s">
        <v>2084</v>
      </c>
      <c r="AS49" s="287">
        <v>24053.36</v>
      </c>
      <c r="AT49" s="287"/>
      <c r="AU49" s="288">
        <f>VLOOKUP(I49,DADOS!B:C,2,0)</f>
        <v>2299</v>
      </c>
      <c r="AV49" s="289">
        <f t="shared" si="7"/>
        <v>9920</v>
      </c>
      <c r="AW49" s="290"/>
      <c r="AX49" s="290"/>
      <c r="AY49" s="265"/>
      <c r="AZ49" s="291"/>
      <c r="BA49" s="292" t="s">
        <v>1174</v>
      </c>
      <c r="BB49" s="293" t="s">
        <v>1175</v>
      </c>
      <c r="BC49" s="294"/>
      <c r="BD49" s="294"/>
      <c r="BE49" s="294"/>
      <c r="BF49" s="294"/>
      <c r="BG49" s="334">
        <f t="shared" si="8"/>
        <v>0</v>
      </c>
      <c r="BH49" s="294"/>
      <c r="BI49" s="286" t="s">
        <v>2082</v>
      </c>
      <c r="BJ49" s="473" t="s">
        <v>2085</v>
      </c>
      <c r="BK49" s="317" t="s">
        <v>102</v>
      </c>
      <c r="BL49" s="297"/>
      <c r="BM49" s="297"/>
      <c r="BN49" s="298"/>
      <c r="BO49" s="299"/>
      <c r="BP49" s="300"/>
      <c r="BQ49" s="300"/>
      <c r="BR49" s="300" t="str">
        <f t="shared" si="9"/>
        <v>#REF!</v>
      </c>
      <c r="BS49" s="300"/>
      <c r="BT49" s="300"/>
    </row>
    <row r="50">
      <c r="A50" s="261">
        <v>9.102343342E9</v>
      </c>
      <c r="B50" s="262" t="s">
        <v>2086</v>
      </c>
      <c r="C50" s="264" t="s">
        <v>93</v>
      </c>
      <c r="D50" s="264" t="s">
        <v>93</v>
      </c>
      <c r="E50" s="265" t="s">
        <v>2087</v>
      </c>
      <c r="F50" s="305" t="s">
        <v>977</v>
      </c>
      <c r="G50" s="266" t="s">
        <v>495</v>
      </c>
      <c r="H50" s="302"/>
      <c r="I50" s="268" t="s">
        <v>512</v>
      </c>
      <c r="J50" s="269" t="str">
        <f>VLOOKUP(I50,DADOS!B:F,5,0)</f>
        <v>ETEMILSON OLIVEIRA SANTOS - NTS149530</v>
      </c>
      <c r="K50" s="270" t="s">
        <v>608</v>
      </c>
      <c r="L50" s="262" t="s">
        <v>444</v>
      </c>
      <c r="M50" s="262" t="s">
        <v>105</v>
      </c>
      <c r="N50" s="271"/>
      <c r="O50" s="272"/>
      <c r="P50" s="349">
        <v>46009.0</v>
      </c>
      <c r="Q50" s="472">
        <v>46010.0</v>
      </c>
      <c r="R50" s="271">
        <v>46031.0</v>
      </c>
      <c r="S50" s="275" t="s">
        <v>2088</v>
      </c>
      <c r="T50" s="274">
        <v>46054.0</v>
      </c>
      <c r="U50" s="275" t="s">
        <v>93</v>
      </c>
      <c r="V50" s="255" t="s">
        <v>2089</v>
      </c>
      <c r="W50" s="274">
        <v>46054.0</v>
      </c>
      <c r="X50" s="275" t="s">
        <v>93</v>
      </c>
      <c r="Y50" s="276"/>
      <c r="Z50" s="277"/>
      <c r="AA50" s="432"/>
      <c r="AB50" s="304" t="s">
        <v>2090</v>
      </c>
      <c r="AC50" s="262">
        <v>1.0</v>
      </c>
      <c r="AD50" s="262">
        <v>0.0</v>
      </c>
      <c r="AE50" s="262">
        <v>4.0</v>
      </c>
      <c r="AF50" s="280">
        <v>4.0</v>
      </c>
      <c r="AG50" s="280">
        <v>4.0</v>
      </c>
      <c r="AH50" s="281">
        <f t="shared" si="5"/>
        <v>0</v>
      </c>
      <c r="AI50" s="282">
        <f t="shared" si="6"/>
        <v>1</v>
      </c>
      <c r="AJ50" s="283">
        <v>1.0</v>
      </c>
      <c r="AK50" s="271">
        <v>46042.0</v>
      </c>
      <c r="AL50" s="271">
        <v>46044.0</v>
      </c>
      <c r="AM50" s="284"/>
      <c r="AN50" s="285">
        <v>46042.0</v>
      </c>
      <c r="AO50" s="262" t="s">
        <v>2091</v>
      </c>
      <c r="AP50" s="286" t="s">
        <v>2092</v>
      </c>
      <c r="AQ50" s="118" t="s">
        <v>2093</v>
      </c>
      <c r="AR50" s="286" t="s">
        <v>2094</v>
      </c>
      <c r="AS50" s="287">
        <v>42614.78</v>
      </c>
      <c r="AT50" s="287"/>
      <c r="AU50" s="288">
        <f>VLOOKUP(I50,DADOS!B:C,2,0)</f>
        <v>2299</v>
      </c>
      <c r="AV50" s="289">
        <f t="shared" si="7"/>
        <v>9920</v>
      </c>
      <c r="AW50" s="290"/>
      <c r="AX50" s="290"/>
      <c r="AY50" s="265"/>
      <c r="AZ50" s="291"/>
      <c r="BA50" s="292" t="s">
        <v>2095</v>
      </c>
      <c r="BB50" s="293" t="s">
        <v>2096</v>
      </c>
      <c r="BC50" s="294"/>
      <c r="BD50" s="294"/>
      <c r="BE50" s="294"/>
      <c r="BF50" s="294"/>
      <c r="BG50" s="294">
        <f t="shared" si="8"/>
        <v>0</v>
      </c>
      <c r="BH50" s="294"/>
      <c r="BI50" s="324" t="s">
        <v>2092</v>
      </c>
      <c r="BJ50" s="295" t="s">
        <v>2097</v>
      </c>
      <c r="BK50" s="425" t="s">
        <v>102</v>
      </c>
      <c r="BL50" s="129"/>
      <c r="BM50" s="129"/>
      <c r="BN50" s="36"/>
      <c r="BO50" s="130"/>
      <c r="BP50" s="32"/>
      <c r="BQ50" s="32"/>
      <c r="BR50" s="300" t="str">
        <f t="shared" si="9"/>
        <v>#REF!</v>
      </c>
      <c r="BS50" s="300"/>
      <c r="BT50" s="300"/>
    </row>
    <row r="51">
      <c r="A51" s="261">
        <v>9.102345793E9</v>
      </c>
      <c r="B51" s="262" t="s">
        <v>2098</v>
      </c>
      <c r="C51" s="264" t="s">
        <v>93</v>
      </c>
      <c r="D51" s="264" t="s">
        <v>93</v>
      </c>
      <c r="E51" s="265" t="s">
        <v>2099</v>
      </c>
      <c r="F51" s="305" t="s">
        <v>977</v>
      </c>
      <c r="G51" s="266" t="s">
        <v>495</v>
      </c>
      <c r="H51" s="302" t="s">
        <v>2100</v>
      </c>
      <c r="I51" s="268" t="s">
        <v>496</v>
      </c>
      <c r="J51" s="269" t="str">
        <f>VLOOKUP(I51,DADOS!B:F,5,0)</f>
        <v>ETEMILSON OLIVEIRA SANTOS - NTS149530</v>
      </c>
      <c r="K51" s="270" t="s">
        <v>608</v>
      </c>
      <c r="L51" s="262" t="s">
        <v>444</v>
      </c>
      <c r="M51" s="262" t="s">
        <v>105</v>
      </c>
      <c r="N51" s="271"/>
      <c r="O51" s="272"/>
      <c r="P51" s="349">
        <v>46009.0</v>
      </c>
      <c r="Q51" s="472">
        <v>46010.0</v>
      </c>
      <c r="R51" s="271">
        <v>46031.0</v>
      </c>
      <c r="S51" s="275" t="s">
        <v>93</v>
      </c>
      <c r="T51" s="275" t="s">
        <v>93</v>
      </c>
      <c r="U51" s="275" t="s">
        <v>93</v>
      </c>
      <c r="V51" s="255" t="s">
        <v>2101</v>
      </c>
      <c r="W51" s="333">
        <v>46054.0</v>
      </c>
      <c r="X51" s="275" t="s">
        <v>93</v>
      </c>
      <c r="Y51" s="276"/>
      <c r="Z51" s="277"/>
      <c r="AA51" s="434"/>
      <c r="AB51" s="304" t="s">
        <v>2102</v>
      </c>
      <c r="AC51" s="262">
        <v>1.0</v>
      </c>
      <c r="AD51" s="262">
        <v>0.0</v>
      </c>
      <c r="AE51" s="262">
        <v>3.0</v>
      </c>
      <c r="AF51" s="280">
        <v>3.0</v>
      </c>
      <c r="AG51" s="280">
        <v>3.0</v>
      </c>
      <c r="AH51" s="281">
        <f t="shared" si="5"/>
        <v>0</v>
      </c>
      <c r="AI51" s="282">
        <f t="shared" si="6"/>
        <v>1</v>
      </c>
      <c r="AJ51" s="283">
        <v>1.0</v>
      </c>
      <c r="AK51" s="271">
        <v>46043.0</v>
      </c>
      <c r="AL51" s="271">
        <v>46045.0</v>
      </c>
      <c r="AM51" s="284"/>
      <c r="AN51" s="285">
        <v>46035.0</v>
      </c>
      <c r="AO51" s="262" t="s">
        <v>2103</v>
      </c>
      <c r="AP51" s="286" t="s">
        <v>2104</v>
      </c>
      <c r="AQ51" s="118" t="s">
        <v>2105</v>
      </c>
      <c r="AR51" s="286" t="s">
        <v>2106</v>
      </c>
      <c r="AS51" s="287">
        <v>18520.13</v>
      </c>
      <c r="AT51" s="287"/>
      <c r="AU51" s="288">
        <f>VLOOKUP(I51,DADOS!B:C,2,0)</f>
        <v>2300</v>
      </c>
      <c r="AV51" s="289">
        <f t="shared" si="7"/>
        <v>7440</v>
      </c>
      <c r="AW51" s="290"/>
      <c r="AX51" s="290"/>
      <c r="AY51" s="265"/>
      <c r="AZ51" s="291"/>
      <c r="BA51" s="292" t="s">
        <v>985</v>
      </c>
      <c r="BB51" s="293" t="s">
        <v>2107</v>
      </c>
      <c r="BC51" s="294"/>
      <c r="BD51" s="294"/>
      <c r="BE51" s="294"/>
      <c r="BF51" s="294"/>
      <c r="BG51" s="294">
        <f t="shared" si="8"/>
        <v>0</v>
      </c>
      <c r="BH51" s="294"/>
      <c r="BI51" s="324" t="s">
        <v>2104</v>
      </c>
      <c r="BJ51" s="424" t="s">
        <v>2108</v>
      </c>
      <c r="BK51" s="317" t="s">
        <v>102</v>
      </c>
      <c r="BL51" s="129"/>
      <c r="BM51" s="129"/>
      <c r="BN51" s="36"/>
      <c r="BO51" s="130"/>
      <c r="BP51" s="32"/>
      <c r="BQ51" s="32"/>
      <c r="BR51" s="300" t="str">
        <f t="shared" si="9"/>
        <v>#REF!</v>
      </c>
      <c r="BS51" s="32"/>
      <c r="BT51" s="32"/>
    </row>
    <row r="52">
      <c r="A52" s="261">
        <v>9.102346999E9</v>
      </c>
      <c r="B52" s="262" t="s">
        <v>2109</v>
      </c>
      <c r="C52" s="264" t="s">
        <v>93</v>
      </c>
      <c r="D52" s="264" t="s">
        <v>93</v>
      </c>
      <c r="E52" s="265" t="s">
        <v>2110</v>
      </c>
      <c r="F52" s="305" t="s">
        <v>977</v>
      </c>
      <c r="G52" s="266" t="s">
        <v>495</v>
      </c>
      <c r="H52" s="302" t="s">
        <v>2111</v>
      </c>
      <c r="I52" s="268" t="s">
        <v>496</v>
      </c>
      <c r="J52" s="269" t="str">
        <f>VLOOKUP(I52,DADOS!B:F,5,0)</f>
        <v>ETEMILSON OLIVEIRA SANTOS - NTS149530</v>
      </c>
      <c r="K52" s="270" t="s">
        <v>608</v>
      </c>
      <c r="L52" s="262" t="s">
        <v>444</v>
      </c>
      <c r="M52" s="262" t="s">
        <v>105</v>
      </c>
      <c r="N52" s="271">
        <v>46009.0</v>
      </c>
      <c r="O52" s="272" t="s">
        <v>1845</v>
      </c>
      <c r="P52" s="349">
        <v>46009.0</v>
      </c>
      <c r="Q52" s="422">
        <v>46010.0</v>
      </c>
      <c r="R52" s="271">
        <v>46031.0</v>
      </c>
      <c r="S52" s="275" t="s">
        <v>93</v>
      </c>
      <c r="T52" s="275" t="s">
        <v>93</v>
      </c>
      <c r="U52" s="275" t="s">
        <v>93</v>
      </c>
      <c r="V52" s="255" t="s">
        <v>2112</v>
      </c>
      <c r="W52" s="333">
        <v>46054.0</v>
      </c>
      <c r="X52" s="275" t="s">
        <v>93</v>
      </c>
      <c r="Y52" s="276"/>
      <c r="Z52" s="277"/>
      <c r="AA52" s="434" t="s">
        <v>2113</v>
      </c>
      <c r="AB52" s="321" t="s">
        <v>2114</v>
      </c>
      <c r="AC52" s="262">
        <v>1.0</v>
      </c>
      <c r="AD52" s="262">
        <v>0.0</v>
      </c>
      <c r="AE52" s="262">
        <v>7.0</v>
      </c>
      <c r="AF52" s="280">
        <v>7.0</v>
      </c>
      <c r="AG52" s="280">
        <v>7.0</v>
      </c>
      <c r="AH52" s="281">
        <f t="shared" si="5"/>
        <v>0</v>
      </c>
      <c r="AI52" s="282">
        <f t="shared" si="6"/>
        <v>1</v>
      </c>
      <c r="AJ52" s="283">
        <v>1.0</v>
      </c>
      <c r="AK52" s="271">
        <v>46044.0</v>
      </c>
      <c r="AL52" s="271">
        <v>46045.0</v>
      </c>
      <c r="AM52" s="284"/>
      <c r="AN52" s="285">
        <v>46034.0</v>
      </c>
      <c r="AO52" s="262" t="s">
        <v>2115</v>
      </c>
      <c r="AP52" s="286" t="s">
        <v>2116</v>
      </c>
      <c r="AQ52" s="118" t="s">
        <v>2117</v>
      </c>
      <c r="AR52" s="286" t="s">
        <v>2118</v>
      </c>
      <c r="AS52" s="287">
        <v>43410.19</v>
      </c>
      <c r="AT52" s="287"/>
      <c r="AU52" s="288">
        <f>VLOOKUP(I52,DADOS!B:C,2,0)</f>
        <v>2300</v>
      </c>
      <c r="AV52" s="289">
        <f t="shared" si="7"/>
        <v>17360</v>
      </c>
      <c r="AW52" s="290"/>
      <c r="AX52" s="290"/>
      <c r="AY52" s="265"/>
      <c r="AZ52" s="291"/>
      <c r="BA52" s="292" t="s">
        <v>985</v>
      </c>
      <c r="BB52" s="293" t="s">
        <v>2119</v>
      </c>
      <c r="BC52" s="294"/>
      <c r="BD52" s="294"/>
      <c r="BE52" s="294"/>
      <c r="BF52" s="294"/>
      <c r="BG52" s="294">
        <f t="shared" si="8"/>
        <v>0</v>
      </c>
      <c r="BH52" s="294"/>
      <c r="BI52" s="324" t="s">
        <v>2116</v>
      </c>
      <c r="BJ52" s="424" t="s">
        <v>2120</v>
      </c>
      <c r="BK52" s="317" t="s">
        <v>102</v>
      </c>
      <c r="BL52" s="297"/>
      <c r="BM52" s="297"/>
      <c r="BN52" s="298"/>
      <c r="BO52" s="299"/>
      <c r="BP52" s="300"/>
      <c r="BQ52" s="300"/>
      <c r="BR52" s="300" t="str">
        <f t="shared" si="9"/>
        <v>#REF!</v>
      </c>
      <c r="BS52" s="300"/>
      <c r="BT52" s="300"/>
    </row>
    <row r="53">
      <c r="A53" s="261">
        <v>9.102356638E9</v>
      </c>
      <c r="B53" s="262" t="s">
        <v>2121</v>
      </c>
      <c r="C53" s="264" t="s">
        <v>93</v>
      </c>
      <c r="D53" s="264" t="s">
        <v>93</v>
      </c>
      <c r="E53" s="265" t="s">
        <v>2122</v>
      </c>
      <c r="F53" s="305" t="s">
        <v>977</v>
      </c>
      <c r="G53" s="266" t="s">
        <v>495</v>
      </c>
      <c r="H53" s="302" t="s">
        <v>2111</v>
      </c>
      <c r="I53" s="268" t="s">
        <v>512</v>
      </c>
      <c r="J53" s="269" t="str">
        <f>VLOOKUP(I53,DADOS!B:F,5,0)</f>
        <v>ETEMILSON OLIVEIRA SANTOS - NTS149530</v>
      </c>
      <c r="K53" s="270" t="s">
        <v>608</v>
      </c>
      <c r="L53" s="262" t="s">
        <v>444</v>
      </c>
      <c r="M53" s="262" t="s">
        <v>105</v>
      </c>
      <c r="N53" s="271">
        <v>46009.0</v>
      </c>
      <c r="O53" s="272" t="s">
        <v>1845</v>
      </c>
      <c r="P53" s="349">
        <v>46009.0</v>
      </c>
      <c r="Q53" s="472">
        <v>46010.0</v>
      </c>
      <c r="R53" s="271">
        <v>46031.0</v>
      </c>
      <c r="S53" s="254" t="s">
        <v>2123</v>
      </c>
      <c r="T53" s="274">
        <v>46054.0</v>
      </c>
      <c r="U53" s="275" t="s">
        <v>93</v>
      </c>
      <c r="V53" s="255" t="s">
        <v>2124</v>
      </c>
      <c r="W53" s="274">
        <v>46054.0</v>
      </c>
      <c r="X53" s="275" t="s">
        <v>93</v>
      </c>
      <c r="Y53" s="276"/>
      <c r="Z53" s="277"/>
      <c r="AA53" s="434"/>
      <c r="AB53" s="304" t="s">
        <v>2125</v>
      </c>
      <c r="AC53" s="262">
        <v>1.0</v>
      </c>
      <c r="AD53" s="262">
        <v>0.0</v>
      </c>
      <c r="AE53" s="262">
        <v>4.0</v>
      </c>
      <c r="AF53" s="280">
        <v>4.0</v>
      </c>
      <c r="AG53" s="280">
        <v>4.0</v>
      </c>
      <c r="AH53" s="281">
        <f t="shared" si="5"/>
        <v>0</v>
      </c>
      <c r="AI53" s="282">
        <f t="shared" si="6"/>
        <v>1</v>
      </c>
      <c r="AJ53" s="283">
        <v>1.0</v>
      </c>
      <c r="AK53" s="271">
        <v>46045.0</v>
      </c>
      <c r="AL53" s="271">
        <v>46048.0</v>
      </c>
      <c r="AM53" s="284"/>
      <c r="AN53" s="285">
        <v>46043.0</v>
      </c>
      <c r="AO53" s="262" t="s">
        <v>2126</v>
      </c>
      <c r="AP53" s="286" t="s">
        <v>2127</v>
      </c>
      <c r="AQ53" s="118" t="s">
        <v>2128</v>
      </c>
      <c r="AR53" s="286" t="s">
        <v>2129</v>
      </c>
      <c r="AS53" s="287">
        <v>39303.89</v>
      </c>
      <c r="AT53" s="287"/>
      <c r="AU53" s="288">
        <f>VLOOKUP(I53,DADOS!B:C,2,0)</f>
        <v>2299</v>
      </c>
      <c r="AV53" s="289">
        <f t="shared" si="7"/>
        <v>9920</v>
      </c>
      <c r="AW53" s="290"/>
      <c r="AX53" s="290"/>
      <c r="AY53" s="265"/>
      <c r="AZ53" s="291"/>
      <c r="BA53" s="292" t="s">
        <v>2095</v>
      </c>
      <c r="BB53" s="293" t="s">
        <v>2130</v>
      </c>
      <c r="BC53" s="294"/>
      <c r="BD53" s="294"/>
      <c r="BE53" s="294"/>
      <c r="BF53" s="294"/>
      <c r="BG53" s="294">
        <f t="shared" si="8"/>
        <v>0</v>
      </c>
      <c r="BH53" s="294"/>
      <c r="BI53" s="324" t="s">
        <v>2127</v>
      </c>
      <c r="BJ53" s="295" t="s">
        <v>2131</v>
      </c>
      <c r="BK53" s="425" t="s">
        <v>2124</v>
      </c>
      <c r="BL53" s="297"/>
      <c r="BM53" s="297"/>
      <c r="BN53" s="298"/>
      <c r="BO53" s="299" t="s">
        <v>2132</v>
      </c>
      <c r="BP53" s="300"/>
      <c r="BQ53" s="300"/>
      <c r="BR53" s="300" t="str">
        <f t="shared" si="9"/>
        <v>#REF!</v>
      </c>
      <c r="BS53" s="300"/>
      <c r="BT53" s="300"/>
    </row>
    <row r="54">
      <c r="A54" s="437">
        <v>9.101713555E9</v>
      </c>
      <c r="B54" s="262" t="s">
        <v>2133</v>
      </c>
      <c r="C54" s="142" t="s">
        <v>93</v>
      </c>
      <c r="D54" s="142" t="s">
        <v>93</v>
      </c>
      <c r="E54" s="301" t="s">
        <v>2134</v>
      </c>
      <c r="F54" s="305" t="s">
        <v>977</v>
      </c>
      <c r="G54" s="266" t="s">
        <v>495</v>
      </c>
      <c r="H54" s="302" t="s">
        <v>2111</v>
      </c>
      <c r="I54" s="268" t="s">
        <v>512</v>
      </c>
      <c r="J54" s="269" t="str">
        <f>VLOOKUP(I54,DADOS!B:F,5,0)</f>
        <v>ETEMILSON OLIVEIRA SANTOS - NTS149530</v>
      </c>
      <c r="K54" s="270" t="s">
        <v>608</v>
      </c>
      <c r="L54" s="303" t="s">
        <v>4</v>
      </c>
      <c r="M54" s="262" t="s">
        <v>91</v>
      </c>
      <c r="N54" s="271">
        <v>46009.0</v>
      </c>
      <c r="O54" s="272" t="s">
        <v>2135</v>
      </c>
      <c r="P54" s="252">
        <v>46009.0</v>
      </c>
      <c r="Q54" s="472">
        <v>46010.0</v>
      </c>
      <c r="R54" s="271">
        <v>46031.0</v>
      </c>
      <c r="S54" s="254" t="s">
        <v>2136</v>
      </c>
      <c r="T54" s="274">
        <v>46054.0</v>
      </c>
      <c r="U54" s="254" t="s">
        <v>2137</v>
      </c>
      <c r="V54" s="255" t="str">
        <f>X54</f>
        <v>2025-162741</v>
      </c>
      <c r="W54" s="274">
        <v>46054.0</v>
      </c>
      <c r="X54" s="254" t="s">
        <v>2138</v>
      </c>
      <c r="Y54" s="276">
        <v>46044.0</v>
      </c>
      <c r="Z54" s="277" t="s">
        <v>448</v>
      </c>
      <c r="AA54" s="434" t="s">
        <v>2139</v>
      </c>
      <c r="AB54" s="304" t="s">
        <v>2140</v>
      </c>
      <c r="AC54" s="262">
        <v>1.0</v>
      </c>
      <c r="AD54" s="262">
        <v>0.0</v>
      </c>
      <c r="AE54" s="262">
        <f>14+1</f>
        <v>15</v>
      </c>
      <c r="AF54" s="280">
        <v>15.0</v>
      </c>
      <c r="AG54" s="280">
        <v>15.0</v>
      </c>
      <c r="AH54" s="281">
        <f t="shared" si="5"/>
        <v>0</v>
      </c>
      <c r="AI54" s="282">
        <f t="shared" si="6"/>
        <v>1</v>
      </c>
      <c r="AJ54" s="283">
        <v>0.5</v>
      </c>
      <c r="AK54" s="271">
        <v>46031.0</v>
      </c>
      <c r="AL54" s="271">
        <v>46042.0</v>
      </c>
      <c r="AM54" s="284"/>
      <c r="AN54" s="285">
        <v>46044.0</v>
      </c>
      <c r="AO54" s="262" t="s">
        <v>2141</v>
      </c>
      <c r="AP54" s="286" t="s">
        <v>2142</v>
      </c>
      <c r="AQ54" s="118" t="s">
        <v>2143</v>
      </c>
      <c r="AR54" s="286" t="s">
        <v>2144</v>
      </c>
      <c r="AS54" s="287">
        <v>15777.43</v>
      </c>
      <c r="AT54" s="287"/>
      <c r="AU54" s="288">
        <f>VLOOKUP(I54,DADOS!B:C,2,0)</f>
        <v>2299</v>
      </c>
      <c r="AV54" s="289">
        <f t="shared" si="7"/>
        <v>37200</v>
      </c>
      <c r="AW54" s="290"/>
      <c r="AX54" s="290"/>
      <c r="AY54" s="265"/>
      <c r="AZ54" s="291"/>
      <c r="BA54" s="292" t="s">
        <v>2073</v>
      </c>
      <c r="BB54" s="293" t="s">
        <v>2119</v>
      </c>
      <c r="BC54" s="294"/>
      <c r="BD54" s="294"/>
      <c r="BE54" s="294"/>
      <c r="BF54" s="294"/>
      <c r="BG54" s="294">
        <f t="shared" si="8"/>
        <v>0</v>
      </c>
      <c r="BH54" s="294"/>
      <c r="BI54" s="324" t="s">
        <v>2145</v>
      </c>
      <c r="BJ54" s="295" t="s">
        <v>2146</v>
      </c>
      <c r="BK54" s="425" t="s">
        <v>2147</v>
      </c>
      <c r="BL54" s="129"/>
      <c r="BM54" s="129"/>
      <c r="BN54" s="36"/>
      <c r="BO54" s="130" t="s">
        <v>1695</v>
      </c>
      <c r="BP54" s="32"/>
      <c r="BQ54" s="32"/>
      <c r="BR54" s="300" t="str">
        <f t="shared" si="9"/>
        <v>#REF!</v>
      </c>
      <c r="BS54" s="300"/>
      <c r="BT54" s="300"/>
    </row>
    <row r="55">
      <c r="A55" s="435">
        <v>9.101786137E9</v>
      </c>
      <c r="B55" s="262" t="s">
        <v>2148</v>
      </c>
      <c r="C55" s="264" t="s">
        <v>93</v>
      </c>
      <c r="D55" s="264" t="s">
        <v>93</v>
      </c>
      <c r="E55" s="265" t="s">
        <v>2149</v>
      </c>
      <c r="F55" s="305" t="s">
        <v>977</v>
      </c>
      <c r="G55" s="266" t="s">
        <v>495</v>
      </c>
      <c r="H55" s="430" t="s">
        <v>1592</v>
      </c>
      <c r="I55" s="268" t="s">
        <v>512</v>
      </c>
      <c r="J55" s="269" t="str">
        <f>VLOOKUP(I55,DADOS!B:F,5,0)</f>
        <v>ETEMILSON OLIVEIRA SANTOS - NTS149530</v>
      </c>
      <c r="K55" s="431" t="s">
        <v>131</v>
      </c>
      <c r="L55" s="303" t="s">
        <v>4</v>
      </c>
      <c r="M55" s="262" t="s">
        <v>91</v>
      </c>
      <c r="N55" s="271">
        <v>45980.0</v>
      </c>
      <c r="O55" s="272" t="s">
        <v>2150</v>
      </c>
      <c r="P55" s="252">
        <v>45992.0</v>
      </c>
      <c r="Q55" s="341">
        <v>45992.0</v>
      </c>
      <c r="R55" s="271">
        <v>45996.0</v>
      </c>
      <c r="S55" s="259" t="s">
        <v>2151</v>
      </c>
      <c r="T55" s="274"/>
      <c r="U55" s="259" t="s">
        <v>2152</v>
      </c>
      <c r="V55" s="259" t="s">
        <v>2153</v>
      </c>
      <c r="W55" s="274">
        <v>46059.0</v>
      </c>
      <c r="X55" s="275" t="s">
        <v>93</v>
      </c>
      <c r="Y55" s="276"/>
      <c r="Z55" s="277"/>
      <c r="AA55" s="434" t="s">
        <v>2154</v>
      </c>
      <c r="AB55" s="304" t="s">
        <v>2155</v>
      </c>
      <c r="AC55" s="262">
        <v>1.0</v>
      </c>
      <c r="AD55" s="262">
        <v>0.0</v>
      </c>
      <c r="AE55" s="262">
        <f>15-2</f>
        <v>13</v>
      </c>
      <c r="AF55" s="262">
        <v>13.0</v>
      </c>
      <c r="AG55" s="280">
        <f>8+4+1</f>
        <v>13</v>
      </c>
      <c r="AH55" s="281">
        <f t="shared" si="5"/>
        <v>0</v>
      </c>
      <c r="AI55" s="282">
        <f t="shared" si="6"/>
        <v>1</v>
      </c>
      <c r="AJ55" s="283">
        <v>1.0</v>
      </c>
      <c r="AK55" s="271">
        <v>46007.0</v>
      </c>
      <c r="AL55" s="271">
        <v>46029.0</v>
      </c>
      <c r="AM55" s="284"/>
      <c r="AN55" s="285">
        <v>46031.0</v>
      </c>
      <c r="AO55" s="262" t="s">
        <v>2156</v>
      </c>
      <c r="AP55" s="294" t="s">
        <v>2157</v>
      </c>
      <c r="AQ55" s="325" t="s">
        <v>2158</v>
      </c>
      <c r="AR55" s="286" t="s">
        <v>2159</v>
      </c>
      <c r="AS55" s="287">
        <v>151608.49</v>
      </c>
      <c r="AT55" s="287"/>
      <c r="AU55" s="288">
        <f>VLOOKUP(I55,DADOS!B:C,2,0)</f>
        <v>2299</v>
      </c>
      <c r="AV55" s="289">
        <f t="shared" si="7"/>
        <v>32240</v>
      </c>
      <c r="AW55" s="290" t="s">
        <v>93</v>
      </c>
      <c r="AX55" s="290" t="s">
        <v>93</v>
      </c>
      <c r="AY55" s="265"/>
      <c r="AZ55" s="291"/>
      <c r="BA55" s="292" t="s">
        <v>140</v>
      </c>
      <c r="BB55" s="293" t="s">
        <v>2160</v>
      </c>
      <c r="BC55" s="294"/>
      <c r="BD55" s="294"/>
      <c r="BE55" s="294"/>
      <c r="BF55" s="294"/>
      <c r="BG55" s="294">
        <f t="shared" si="8"/>
        <v>0</v>
      </c>
      <c r="BH55" s="294"/>
      <c r="BI55" s="294" t="s">
        <v>2157</v>
      </c>
      <c r="BJ55" s="295" t="s">
        <v>2161</v>
      </c>
      <c r="BK55" s="471" t="s">
        <v>429</v>
      </c>
      <c r="BL55" s="297"/>
      <c r="BM55" s="297"/>
      <c r="BN55" s="298"/>
      <c r="BO55" s="299"/>
      <c r="BP55" s="300"/>
      <c r="BQ55" s="300"/>
      <c r="BR55" s="300" t="str">
        <f t="shared" si="9"/>
        <v>#REF!</v>
      </c>
      <c r="BS55" s="300"/>
      <c r="BT55" s="300"/>
    </row>
    <row r="56">
      <c r="A56" s="435">
        <v>9.101775747E9</v>
      </c>
      <c r="B56" s="262" t="s">
        <v>2162</v>
      </c>
      <c r="C56" s="142" t="s">
        <v>2163</v>
      </c>
      <c r="D56" s="142" t="s">
        <v>2164</v>
      </c>
      <c r="E56" s="265" t="s">
        <v>2165</v>
      </c>
      <c r="F56" s="305" t="s">
        <v>977</v>
      </c>
      <c r="G56" s="266" t="s">
        <v>495</v>
      </c>
      <c r="H56" s="430" t="s">
        <v>1592</v>
      </c>
      <c r="I56" s="268" t="s">
        <v>2166</v>
      </c>
      <c r="J56" s="269" t="str">
        <f>VLOOKUP(I56,DADOS!B:F,5,0)</f>
        <v>ETEMILSON OLIVEIRA SANTOS - NTS149530</v>
      </c>
      <c r="K56" s="431" t="s">
        <v>131</v>
      </c>
      <c r="L56" s="262" t="s">
        <v>4</v>
      </c>
      <c r="M56" s="262" t="s">
        <v>105</v>
      </c>
      <c r="N56" s="271">
        <v>45979.0</v>
      </c>
      <c r="O56" s="272" t="s">
        <v>2167</v>
      </c>
      <c r="P56" s="352">
        <v>45999.0</v>
      </c>
      <c r="Q56" s="341">
        <v>45999.0</v>
      </c>
      <c r="R56" s="271">
        <v>46002.0</v>
      </c>
      <c r="S56" s="254" t="s">
        <v>2168</v>
      </c>
      <c r="T56" s="274"/>
      <c r="U56" s="275" t="s">
        <v>93</v>
      </c>
      <c r="V56" s="259" t="s">
        <v>2169</v>
      </c>
      <c r="W56" s="274">
        <v>46059.0</v>
      </c>
      <c r="X56" s="254" t="s">
        <v>2170</v>
      </c>
      <c r="Y56" s="276">
        <v>46010.0</v>
      </c>
      <c r="Z56" s="277" t="s">
        <v>572</v>
      </c>
      <c r="AA56" s="434" t="s">
        <v>2171</v>
      </c>
      <c r="AB56" s="304" t="s">
        <v>2172</v>
      </c>
      <c r="AC56" s="262">
        <v>2.0</v>
      </c>
      <c r="AD56" s="262">
        <v>0.0</v>
      </c>
      <c r="AE56" s="262">
        <v>20.0</v>
      </c>
      <c r="AF56" s="262">
        <f>10+7+3</f>
        <v>20</v>
      </c>
      <c r="AG56" s="280">
        <f>6+2+3+9</f>
        <v>20</v>
      </c>
      <c r="AH56" s="281">
        <f t="shared" si="5"/>
        <v>0</v>
      </c>
      <c r="AI56" s="282">
        <f t="shared" si="6"/>
        <v>1</v>
      </c>
      <c r="AJ56" s="283">
        <v>1.0</v>
      </c>
      <c r="AK56" s="271">
        <v>45996.0</v>
      </c>
      <c r="AL56" s="271">
        <v>46010.0</v>
      </c>
      <c r="AM56" s="284"/>
      <c r="AN56" s="285">
        <v>46028.0</v>
      </c>
      <c r="AO56" s="262" t="s">
        <v>2173</v>
      </c>
      <c r="AP56" s="294" t="s">
        <v>2174</v>
      </c>
      <c r="AQ56" s="474" t="s">
        <v>2175</v>
      </c>
      <c r="AR56" s="286" t="s">
        <v>2176</v>
      </c>
      <c r="AS56" s="287">
        <v>262652.15</v>
      </c>
      <c r="AT56" s="287"/>
      <c r="AU56" s="288">
        <f>VLOOKUP(I56,DADOS!B:C,2,0)</f>
        <v>2339</v>
      </c>
      <c r="AV56" s="289">
        <f t="shared" si="7"/>
        <v>49600</v>
      </c>
      <c r="AW56" s="290"/>
      <c r="AX56" s="290">
        <v>0.134</v>
      </c>
      <c r="AY56" s="265"/>
      <c r="AZ56" s="291"/>
      <c r="BA56" s="292" t="s">
        <v>1174</v>
      </c>
      <c r="BB56" s="293" t="s">
        <v>2177</v>
      </c>
      <c r="BC56" s="294" t="s">
        <v>2178</v>
      </c>
      <c r="BD56" s="294" t="s">
        <v>2179</v>
      </c>
      <c r="BE56" s="294" t="s">
        <v>2180</v>
      </c>
      <c r="BF56" s="294" t="s">
        <v>1244</v>
      </c>
      <c r="BG56" s="294">
        <f t="shared" si="8"/>
        <v>130</v>
      </c>
      <c r="BH56" s="294" t="s">
        <v>2181</v>
      </c>
      <c r="BI56" s="294" t="s">
        <v>2174</v>
      </c>
      <c r="BJ56" s="295" t="s">
        <v>2182</v>
      </c>
      <c r="BK56" s="471" t="s">
        <v>429</v>
      </c>
      <c r="BL56" s="297"/>
      <c r="BM56" s="297"/>
      <c r="BN56" s="298"/>
      <c r="BO56" s="299"/>
      <c r="BP56" s="300"/>
      <c r="BQ56" s="300"/>
      <c r="BR56" s="300" t="str">
        <f t="shared" si="9"/>
        <v>#REF!</v>
      </c>
      <c r="BS56" s="300"/>
      <c r="BT56" s="300"/>
    </row>
    <row r="57">
      <c r="A57" s="435">
        <v>9.101806311E9</v>
      </c>
      <c r="B57" s="262" t="s">
        <v>2183</v>
      </c>
      <c r="C57" s="264" t="s">
        <v>93</v>
      </c>
      <c r="D57" s="264" t="s">
        <v>93</v>
      </c>
      <c r="E57" s="265" t="s">
        <v>2184</v>
      </c>
      <c r="F57" s="305" t="s">
        <v>977</v>
      </c>
      <c r="G57" s="266" t="s">
        <v>495</v>
      </c>
      <c r="H57" s="430" t="s">
        <v>1592</v>
      </c>
      <c r="I57" s="268" t="s">
        <v>512</v>
      </c>
      <c r="J57" s="269" t="str">
        <f>VLOOKUP(I57,DADOS!B:F,5,0)</f>
        <v>ETEMILSON OLIVEIRA SANTOS - NTS149530</v>
      </c>
      <c r="K57" s="431" t="s">
        <v>131</v>
      </c>
      <c r="L57" s="262" t="s">
        <v>4</v>
      </c>
      <c r="M57" s="262" t="s">
        <v>91</v>
      </c>
      <c r="N57" s="271">
        <v>45979.0</v>
      </c>
      <c r="O57" s="272" t="s">
        <v>1622</v>
      </c>
      <c r="P57" s="252">
        <v>45980.0</v>
      </c>
      <c r="Q57" s="341">
        <v>45981.0</v>
      </c>
      <c r="R57" s="271">
        <v>45986.0</v>
      </c>
      <c r="S57" s="475" t="s">
        <v>2185</v>
      </c>
      <c r="T57" s="274"/>
      <c r="U57" s="475" t="s">
        <v>2186</v>
      </c>
      <c r="V57" s="259" t="s">
        <v>2187</v>
      </c>
      <c r="W57" s="274">
        <v>46058.0</v>
      </c>
      <c r="X57" s="275" t="s">
        <v>93</v>
      </c>
      <c r="Y57" s="276"/>
      <c r="Z57" s="277"/>
      <c r="AA57" s="434" t="s">
        <v>2188</v>
      </c>
      <c r="AB57" s="304" t="s">
        <v>2189</v>
      </c>
      <c r="AC57" s="262">
        <v>2.0</v>
      </c>
      <c r="AD57" s="436">
        <v>0.0</v>
      </c>
      <c r="AE57" s="262">
        <v>15.0</v>
      </c>
      <c r="AF57" s="262">
        <v>15.0</v>
      </c>
      <c r="AG57" s="280">
        <f>10+4+1</f>
        <v>15</v>
      </c>
      <c r="AH57" s="281">
        <f t="shared" si="5"/>
        <v>0</v>
      </c>
      <c r="AI57" s="282">
        <f t="shared" si="6"/>
        <v>1</v>
      </c>
      <c r="AJ57" s="283">
        <v>1.0</v>
      </c>
      <c r="AK57" s="271">
        <v>45993.0</v>
      </c>
      <c r="AL57" s="271">
        <v>45999.0</v>
      </c>
      <c r="AM57" s="284"/>
      <c r="AN57" s="285">
        <v>46027.0</v>
      </c>
      <c r="AO57" s="262" t="s">
        <v>2190</v>
      </c>
      <c r="AP57" s="294" t="s">
        <v>2191</v>
      </c>
      <c r="AQ57" s="325" t="s">
        <v>2192</v>
      </c>
      <c r="AR57" s="286" t="s">
        <v>2193</v>
      </c>
      <c r="AS57" s="287">
        <v>142836.76</v>
      </c>
      <c r="AT57" s="287"/>
      <c r="AU57" s="288">
        <f>VLOOKUP(I57,DADOS!B:C,2,0)</f>
        <v>2299</v>
      </c>
      <c r="AV57" s="289">
        <f t="shared" si="7"/>
        <v>37200</v>
      </c>
      <c r="AW57" s="290" t="s">
        <v>93</v>
      </c>
      <c r="AX57" s="290" t="s">
        <v>93</v>
      </c>
      <c r="AY57" s="265"/>
      <c r="AZ57" s="291"/>
      <c r="BA57" s="292" t="s">
        <v>1174</v>
      </c>
      <c r="BB57" s="293" t="s">
        <v>2194</v>
      </c>
      <c r="BC57" s="294"/>
      <c r="BD57" s="294"/>
      <c r="BE57" s="294"/>
      <c r="BF57" s="294"/>
      <c r="BG57" s="294">
        <f t="shared" si="8"/>
        <v>0</v>
      </c>
      <c r="BH57" s="294"/>
      <c r="BI57" s="294" t="s">
        <v>2191</v>
      </c>
      <c r="BJ57" s="295" t="s">
        <v>2195</v>
      </c>
      <c r="BK57" s="434" t="s">
        <v>429</v>
      </c>
      <c r="BL57" s="129"/>
      <c r="BM57" s="129"/>
      <c r="BN57" s="36"/>
      <c r="BO57" s="130"/>
      <c r="BP57" s="32"/>
      <c r="BQ57" s="32"/>
      <c r="BR57" s="300" t="str">
        <f t="shared" si="9"/>
        <v>#REF!</v>
      </c>
      <c r="BS57" s="300"/>
      <c r="BT57" s="300"/>
    </row>
    <row r="58">
      <c r="A58" s="435">
        <v>9.101802317E9</v>
      </c>
      <c r="B58" s="262" t="s">
        <v>2196</v>
      </c>
      <c r="C58" s="264" t="s">
        <v>93</v>
      </c>
      <c r="D58" s="264" t="s">
        <v>93</v>
      </c>
      <c r="E58" s="265" t="s">
        <v>2197</v>
      </c>
      <c r="F58" s="305" t="s">
        <v>977</v>
      </c>
      <c r="G58" s="266" t="s">
        <v>495</v>
      </c>
      <c r="H58" s="430" t="s">
        <v>1592</v>
      </c>
      <c r="I58" s="268" t="s">
        <v>512</v>
      </c>
      <c r="J58" s="269" t="str">
        <f>VLOOKUP(I58,DADOS!B:F,5,0)</f>
        <v>ETEMILSON OLIVEIRA SANTOS - NTS149530</v>
      </c>
      <c r="K58" s="431" t="s">
        <v>131</v>
      </c>
      <c r="L58" s="262" t="s">
        <v>4</v>
      </c>
      <c r="M58" s="262" t="s">
        <v>91</v>
      </c>
      <c r="N58" s="271">
        <v>45980.0</v>
      </c>
      <c r="O58" s="272" t="s">
        <v>1622</v>
      </c>
      <c r="P58" s="252">
        <v>45981.0</v>
      </c>
      <c r="Q58" s="341">
        <v>45981.0</v>
      </c>
      <c r="R58" s="271">
        <v>45986.0</v>
      </c>
      <c r="S58" s="254" t="s">
        <v>2198</v>
      </c>
      <c r="T58" s="274"/>
      <c r="U58" s="254" t="s">
        <v>2199</v>
      </c>
      <c r="V58" s="259" t="s">
        <v>2200</v>
      </c>
      <c r="W58" s="274">
        <v>46059.0</v>
      </c>
      <c r="X58" s="275" t="s">
        <v>93</v>
      </c>
      <c r="Y58" s="276"/>
      <c r="Z58" s="277"/>
      <c r="AA58" s="434" t="s">
        <v>2201</v>
      </c>
      <c r="AB58" s="304" t="s">
        <v>2202</v>
      </c>
      <c r="AC58" s="262">
        <v>2.0</v>
      </c>
      <c r="AD58" s="436">
        <v>0.0</v>
      </c>
      <c r="AE58" s="262">
        <v>14.0</v>
      </c>
      <c r="AF58" s="262">
        <f>6+7+1</f>
        <v>14</v>
      </c>
      <c r="AG58" s="280">
        <f>10+2+2</f>
        <v>14</v>
      </c>
      <c r="AH58" s="281">
        <f t="shared" si="5"/>
        <v>0</v>
      </c>
      <c r="AI58" s="282">
        <f t="shared" si="6"/>
        <v>1</v>
      </c>
      <c r="AJ58" s="283">
        <v>1.0</v>
      </c>
      <c r="AK58" s="271">
        <v>45994.0</v>
      </c>
      <c r="AL58" s="271">
        <v>46006.0</v>
      </c>
      <c r="AM58" s="284"/>
      <c r="AN58" s="285">
        <v>46028.0</v>
      </c>
      <c r="AO58" s="262" t="s">
        <v>2203</v>
      </c>
      <c r="AP58" s="294" t="s">
        <v>2204</v>
      </c>
      <c r="AQ58" s="325" t="s">
        <v>2205</v>
      </c>
      <c r="AR58" s="286" t="s">
        <v>2206</v>
      </c>
      <c r="AS58" s="287">
        <v>152492.23</v>
      </c>
      <c r="AT58" s="287"/>
      <c r="AU58" s="288">
        <f>VLOOKUP(I58,DADOS!B:C,2,0)</f>
        <v>2299</v>
      </c>
      <c r="AV58" s="289">
        <f t="shared" si="7"/>
        <v>34720</v>
      </c>
      <c r="AW58" s="290">
        <v>0.247</v>
      </c>
      <c r="AX58" s="290"/>
      <c r="AY58" s="265"/>
      <c r="AZ58" s="291"/>
      <c r="BA58" s="292" t="s">
        <v>985</v>
      </c>
      <c r="BB58" s="293" t="s">
        <v>2207</v>
      </c>
      <c r="BC58" s="294"/>
      <c r="BD58" s="294"/>
      <c r="BE58" s="294"/>
      <c r="BF58" s="294"/>
      <c r="BG58" s="294">
        <f t="shared" si="8"/>
        <v>0</v>
      </c>
      <c r="BH58" s="294"/>
      <c r="BI58" s="294" t="s">
        <v>2204</v>
      </c>
      <c r="BJ58" s="295" t="s">
        <v>2208</v>
      </c>
      <c r="BK58" s="434" t="s">
        <v>429</v>
      </c>
      <c r="BL58" s="297"/>
      <c r="BM58" s="297"/>
      <c r="BN58" s="298"/>
      <c r="BO58" s="299"/>
      <c r="BP58" s="300"/>
      <c r="BQ58" s="300"/>
      <c r="BR58" s="300" t="str">
        <f t="shared" si="9"/>
        <v>#REF!</v>
      </c>
      <c r="BS58" s="300"/>
      <c r="BT58" s="300"/>
    </row>
    <row r="59">
      <c r="A59" s="435">
        <v>9.102171004E9</v>
      </c>
      <c r="B59" s="262" t="s">
        <v>2209</v>
      </c>
      <c r="C59" s="355" t="s">
        <v>2210</v>
      </c>
      <c r="D59" s="264" t="s">
        <v>2211</v>
      </c>
      <c r="E59" s="265" t="s">
        <v>2212</v>
      </c>
      <c r="F59" s="462" t="s">
        <v>2213</v>
      </c>
      <c r="G59" s="463" t="s">
        <v>495</v>
      </c>
      <c r="H59" s="430" t="s">
        <v>1592</v>
      </c>
      <c r="I59" s="268" t="s">
        <v>584</v>
      </c>
      <c r="J59" s="269" t="str">
        <f>VLOOKUP(I59,DADOS!B:F,5,0)</f>
        <v>GILVANDO RIOS DA CRUZ - NTS025538</v>
      </c>
      <c r="K59" s="270" t="s">
        <v>585</v>
      </c>
      <c r="L59" s="262" t="s">
        <v>11</v>
      </c>
      <c r="M59" s="262" t="s">
        <v>1593</v>
      </c>
      <c r="N59" s="271">
        <v>45985.0</v>
      </c>
      <c r="O59" s="272" t="s">
        <v>1831</v>
      </c>
      <c r="P59" s="252">
        <v>45986.0</v>
      </c>
      <c r="Q59" s="341">
        <v>45986.0</v>
      </c>
      <c r="R59" s="271">
        <v>45989.0</v>
      </c>
      <c r="S59" s="254" t="s">
        <v>2214</v>
      </c>
      <c r="T59" s="274"/>
      <c r="U59" s="275" t="s">
        <v>93</v>
      </c>
      <c r="V59" s="259" t="s">
        <v>2215</v>
      </c>
      <c r="W59" s="274">
        <v>46059.0</v>
      </c>
      <c r="X59" s="275" t="s">
        <v>93</v>
      </c>
      <c r="Y59" s="276"/>
      <c r="Z59" s="277"/>
      <c r="AA59" s="278"/>
      <c r="AB59" s="304" t="s">
        <v>2216</v>
      </c>
      <c r="AC59" s="262">
        <v>1.0</v>
      </c>
      <c r="AD59" s="263">
        <v>1.0</v>
      </c>
      <c r="AE59" s="262">
        <v>2.0</v>
      </c>
      <c r="AF59" s="262">
        <v>2.0</v>
      </c>
      <c r="AG59" s="280">
        <v>2.0</v>
      </c>
      <c r="AH59" s="281">
        <f t="shared" si="5"/>
        <v>0</v>
      </c>
      <c r="AI59" s="282">
        <f t="shared" si="6"/>
        <v>1</v>
      </c>
      <c r="AJ59" s="283">
        <v>1.0</v>
      </c>
      <c r="AK59" s="271">
        <v>46002.0</v>
      </c>
      <c r="AL59" s="271">
        <v>46031.0</v>
      </c>
      <c r="AM59" s="284"/>
      <c r="AN59" s="285">
        <v>46032.0</v>
      </c>
      <c r="AO59" s="262" t="s">
        <v>2217</v>
      </c>
      <c r="AP59" s="294" t="s">
        <v>2218</v>
      </c>
      <c r="AQ59" s="118" t="s">
        <v>2219</v>
      </c>
      <c r="AR59" s="286" t="s">
        <v>2220</v>
      </c>
      <c r="AS59" s="287">
        <v>22951.51</v>
      </c>
      <c r="AT59" s="287"/>
      <c r="AU59" s="288">
        <f>VLOOKUP(I59,DADOS!B:C,2,0)</f>
        <v>2381</v>
      </c>
      <c r="AV59" s="289">
        <f t="shared" si="7"/>
        <v>4960</v>
      </c>
      <c r="AW59" s="290">
        <v>0.06</v>
      </c>
      <c r="AX59" s="290"/>
      <c r="AY59" s="265"/>
      <c r="AZ59" s="291"/>
      <c r="BA59" s="292" t="s">
        <v>506</v>
      </c>
      <c r="BB59" s="293" t="s">
        <v>2221</v>
      </c>
      <c r="BC59" s="294"/>
      <c r="BD59" s="294"/>
      <c r="BE59" s="294"/>
      <c r="BF59" s="294"/>
      <c r="BG59" s="294">
        <f t="shared" si="8"/>
        <v>0</v>
      </c>
      <c r="BH59" s="294"/>
      <c r="BI59" s="294" t="s">
        <v>2218</v>
      </c>
      <c r="BJ59" s="295" t="s">
        <v>2222</v>
      </c>
      <c r="BK59" s="434" t="s">
        <v>429</v>
      </c>
      <c r="BL59" s="297"/>
      <c r="BM59" s="297"/>
      <c r="BN59" s="298"/>
      <c r="BO59" s="299"/>
      <c r="BP59" s="300"/>
      <c r="BQ59" s="300"/>
      <c r="BR59" s="300" t="str">
        <f t="shared" si="9"/>
        <v>#REF!</v>
      </c>
      <c r="BS59" s="300"/>
      <c r="BT59" s="300"/>
    </row>
    <row r="60">
      <c r="A60" s="435">
        <v>9.102237025E9</v>
      </c>
      <c r="B60" s="461" t="s">
        <v>2223</v>
      </c>
      <c r="C60" s="264" t="s">
        <v>93</v>
      </c>
      <c r="D60" s="264" t="s">
        <v>93</v>
      </c>
      <c r="E60" s="265" t="s">
        <v>2224</v>
      </c>
      <c r="F60" s="462" t="s">
        <v>2213</v>
      </c>
      <c r="G60" s="266" t="s">
        <v>495</v>
      </c>
      <c r="H60" s="430" t="s">
        <v>1592</v>
      </c>
      <c r="I60" s="268" t="s">
        <v>584</v>
      </c>
      <c r="J60" s="269" t="str">
        <f>VLOOKUP(I60,DADOS!B:F,5,0)</f>
        <v>GILVANDO RIOS DA CRUZ - NTS025538</v>
      </c>
      <c r="K60" s="270" t="s">
        <v>585</v>
      </c>
      <c r="L60" s="303" t="s">
        <v>4</v>
      </c>
      <c r="M60" s="262" t="s">
        <v>1593</v>
      </c>
      <c r="N60" s="271">
        <v>45985.0</v>
      </c>
      <c r="O60" s="272" t="s">
        <v>1831</v>
      </c>
      <c r="P60" s="252">
        <v>45986.0</v>
      </c>
      <c r="Q60" s="341">
        <v>45986.0</v>
      </c>
      <c r="R60" s="271">
        <v>45989.0</v>
      </c>
      <c r="S60" s="254" t="s">
        <v>2225</v>
      </c>
      <c r="T60" s="274"/>
      <c r="U60" s="275" t="s">
        <v>93</v>
      </c>
      <c r="V60" s="259" t="s">
        <v>2226</v>
      </c>
      <c r="W60" s="274">
        <v>46059.0</v>
      </c>
      <c r="X60" s="275" t="s">
        <v>93</v>
      </c>
      <c r="Y60" s="276"/>
      <c r="Z60" s="277"/>
      <c r="AA60" s="278"/>
      <c r="AB60" s="304"/>
      <c r="AC60" s="262">
        <v>1.0</v>
      </c>
      <c r="AD60" s="262">
        <v>0.0</v>
      </c>
      <c r="AE60" s="262">
        <v>4.0</v>
      </c>
      <c r="AF60" s="262">
        <v>4.0</v>
      </c>
      <c r="AG60" s="280">
        <v>4.0</v>
      </c>
      <c r="AH60" s="281">
        <f t="shared" si="5"/>
        <v>0</v>
      </c>
      <c r="AI60" s="282">
        <f t="shared" si="6"/>
        <v>1</v>
      </c>
      <c r="AJ60" s="283">
        <v>1.0</v>
      </c>
      <c r="AK60" s="271">
        <v>46001.0</v>
      </c>
      <c r="AL60" s="271">
        <v>46001.0</v>
      </c>
      <c r="AM60" s="284"/>
      <c r="AN60" s="285">
        <v>46028.0</v>
      </c>
      <c r="AO60" s="262" t="s">
        <v>2227</v>
      </c>
      <c r="AP60" s="294" t="s">
        <v>2228</v>
      </c>
      <c r="AQ60" s="118" t="s">
        <v>2229</v>
      </c>
      <c r="AR60" s="286" t="s">
        <v>2230</v>
      </c>
      <c r="AS60" s="287">
        <v>32883.27</v>
      </c>
      <c r="AT60" s="287"/>
      <c r="AU60" s="288">
        <f>VLOOKUP(I60,DADOS!B:C,2,0)</f>
        <v>2381</v>
      </c>
      <c r="AV60" s="289">
        <f t="shared" si="7"/>
        <v>9920</v>
      </c>
      <c r="AW60" s="290">
        <v>0.18</v>
      </c>
      <c r="AX60" s="290"/>
      <c r="AY60" s="265"/>
      <c r="AZ60" s="291"/>
      <c r="BA60" s="292" t="s">
        <v>2231</v>
      </c>
      <c r="BB60" s="293" t="s">
        <v>2232</v>
      </c>
      <c r="BC60" s="294"/>
      <c r="BD60" s="294"/>
      <c r="BE60" s="294"/>
      <c r="BF60" s="294"/>
      <c r="BG60" s="294">
        <f t="shared" si="8"/>
        <v>0</v>
      </c>
      <c r="BH60" s="294"/>
      <c r="BI60" s="294" t="s">
        <v>2228</v>
      </c>
      <c r="BJ60" s="295" t="s">
        <v>2233</v>
      </c>
      <c r="BK60" s="434" t="s">
        <v>429</v>
      </c>
      <c r="BL60" s="297"/>
      <c r="BM60" s="297"/>
      <c r="BN60" s="298"/>
      <c r="BO60" s="299"/>
      <c r="BP60" s="300"/>
      <c r="BQ60" s="300"/>
      <c r="BR60" s="300" t="str">
        <f t="shared" si="9"/>
        <v>#REF!</v>
      </c>
      <c r="BS60" s="32"/>
      <c r="BT60" s="32"/>
    </row>
    <row r="61">
      <c r="A61" s="435">
        <v>9.10222435E9</v>
      </c>
      <c r="B61" s="262" t="s">
        <v>2234</v>
      </c>
      <c r="C61" s="142" t="s">
        <v>2235</v>
      </c>
      <c r="D61" s="142" t="s">
        <v>2236</v>
      </c>
      <c r="E61" s="265" t="s">
        <v>2237</v>
      </c>
      <c r="F61" s="462" t="s">
        <v>2213</v>
      </c>
      <c r="G61" s="463" t="s">
        <v>495</v>
      </c>
      <c r="H61" s="430" t="s">
        <v>1592</v>
      </c>
      <c r="I61" s="268" t="s">
        <v>584</v>
      </c>
      <c r="J61" s="269" t="str">
        <f>VLOOKUP(I61,DADOS!B:F,5,0)</f>
        <v>GILVANDO RIOS DA CRUZ - NTS025538</v>
      </c>
      <c r="K61" s="270" t="s">
        <v>585</v>
      </c>
      <c r="L61" s="303" t="s">
        <v>4</v>
      </c>
      <c r="M61" s="262" t="s">
        <v>1593</v>
      </c>
      <c r="N61" s="271">
        <v>45983.0</v>
      </c>
      <c r="O61" s="272" t="s">
        <v>1831</v>
      </c>
      <c r="P61" s="252">
        <v>45983.0</v>
      </c>
      <c r="Q61" s="341">
        <v>45986.0</v>
      </c>
      <c r="R61" s="271">
        <v>45989.0</v>
      </c>
      <c r="S61" s="254" t="s">
        <v>2238</v>
      </c>
      <c r="T61" s="274"/>
      <c r="U61" s="275" t="s">
        <v>93</v>
      </c>
      <c r="V61" s="259" t="s">
        <v>2239</v>
      </c>
      <c r="W61" s="274">
        <v>46059.0</v>
      </c>
      <c r="X61" s="275" t="s">
        <v>93</v>
      </c>
      <c r="Y61" s="276"/>
      <c r="Z61" s="277"/>
      <c r="AA61" s="278"/>
      <c r="AB61" s="304" t="s">
        <v>2240</v>
      </c>
      <c r="AC61" s="262">
        <v>1.0</v>
      </c>
      <c r="AD61" s="262">
        <v>0.0</v>
      </c>
      <c r="AE61" s="262">
        <v>4.0</v>
      </c>
      <c r="AF61" s="262">
        <v>4.0</v>
      </c>
      <c r="AG61" s="280">
        <v>4.0</v>
      </c>
      <c r="AH61" s="281">
        <f t="shared" si="5"/>
        <v>0</v>
      </c>
      <c r="AI61" s="282">
        <f t="shared" si="6"/>
        <v>1</v>
      </c>
      <c r="AJ61" s="283">
        <v>1.0</v>
      </c>
      <c r="AK61" s="271">
        <v>46027.0</v>
      </c>
      <c r="AL61" s="271">
        <v>46028.0</v>
      </c>
      <c r="AM61" s="284"/>
      <c r="AN61" s="285">
        <v>46032.0</v>
      </c>
      <c r="AO61" s="262" t="s">
        <v>2241</v>
      </c>
      <c r="AP61" s="294" t="s">
        <v>2242</v>
      </c>
      <c r="AQ61" s="118" t="s">
        <v>2243</v>
      </c>
      <c r="AR61" s="286" t="s">
        <v>2244</v>
      </c>
      <c r="AS61" s="287">
        <v>34657.91</v>
      </c>
      <c r="AT61" s="287"/>
      <c r="AU61" s="288">
        <f>VLOOKUP(I61,DADOS!B:C,2,0)</f>
        <v>2381</v>
      </c>
      <c r="AV61" s="289">
        <f t="shared" si="7"/>
        <v>9920</v>
      </c>
      <c r="AW61" s="290">
        <v>0.15</v>
      </c>
      <c r="AX61" s="290"/>
      <c r="AY61" s="265"/>
      <c r="AZ61" s="291"/>
      <c r="BA61" s="292" t="s">
        <v>506</v>
      </c>
      <c r="BB61" s="293" t="s">
        <v>2245</v>
      </c>
      <c r="BC61" s="294"/>
      <c r="BD61" s="294"/>
      <c r="BE61" s="294"/>
      <c r="BF61" s="294"/>
      <c r="BG61" s="294">
        <f t="shared" si="8"/>
        <v>0</v>
      </c>
      <c r="BH61" s="294"/>
      <c r="BI61" s="294" t="s">
        <v>2242</v>
      </c>
      <c r="BJ61" s="295" t="s">
        <v>2246</v>
      </c>
      <c r="BK61" s="434" t="s">
        <v>429</v>
      </c>
      <c r="BL61" s="297"/>
      <c r="BM61" s="297"/>
      <c r="BN61" s="298"/>
      <c r="BO61" s="299"/>
      <c r="BP61" s="300"/>
      <c r="BQ61" s="300"/>
      <c r="BR61" s="300" t="str">
        <f t="shared" si="9"/>
        <v>#REF!</v>
      </c>
      <c r="BS61" s="300"/>
      <c r="BT61" s="300"/>
    </row>
    <row r="62">
      <c r="A62" s="435">
        <v>9.10230581E9</v>
      </c>
      <c r="B62" s="262" t="s">
        <v>380</v>
      </c>
      <c r="C62" s="142" t="s">
        <v>2247</v>
      </c>
      <c r="D62" s="142" t="s">
        <v>2248</v>
      </c>
      <c r="E62" s="265" t="s">
        <v>2249</v>
      </c>
      <c r="F62" s="462" t="s">
        <v>2213</v>
      </c>
      <c r="G62" s="266" t="s">
        <v>495</v>
      </c>
      <c r="H62" s="430" t="s">
        <v>1592</v>
      </c>
      <c r="I62" s="268" t="s">
        <v>584</v>
      </c>
      <c r="J62" s="269" t="str">
        <f>VLOOKUP(I62,DADOS!B:F,5,0)</f>
        <v>GILVANDO RIOS DA CRUZ - NTS025538</v>
      </c>
      <c r="K62" s="270" t="s">
        <v>585</v>
      </c>
      <c r="L62" s="303" t="s">
        <v>4</v>
      </c>
      <c r="M62" s="262" t="s">
        <v>1593</v>
      </c>
      <c r="N62" s="271">
        <v>45985.0</v>
      </c>
      <c r="O62" s="476" t="s">
        <v>1831</v>
      </c>
      <c r="P62" s="252">
        <v>45986.0</v>
      </c>
      <c r="Q62" s="273">
        <v>45986.0</v>
      </c>
      <c r="R62" s="271">
        <v>45989.0</v>
      </c>
      <c r="S62" s="254" t="s">
        <v>2250</v>
      </c>
      <c r="T62" s="274"/>
      <c r="U62" s="275" t="s">
        <v>93</v>
      </c>
      <c r="V62" s="259" t="s">
        <v>2251</v>
      </c>
      <c r="W62" s="274">
        <v>46059.0</v>
      </c>
      <c r="X62" s="275" t="s">
        <v>93</v>
      </c>
      <c r="Y62" s="276"/>
      <c r="Z62" s="277"/>
      <c r="AA62" s="278"/>
      <c r="AB62" s="304" t="s">
        <v>2252</v>
      </c>
      <c r="AC62" s="262">
        <v>1.0</v>
      </c>
      <c r="AD62" s="262">
        <v>0.0</v>
      </c>
      <c r="AE62" s="262">
        <v>2.0</v>
      </c>
      <c r="AF62" s="262">
        <v>2.0</v>
      </c>
      <c r="AG62" s="280">
        <v>2.0</v>
      </c>
      <c r="AH62" s="281">
        <f t="shared" si="5"/>
        <v>0</v>
      </c>
      <c r="AI62" s="282">
        <f t="shared" si="6"/>
        <v>1</v>
      </c>
      <c r="AJ62" s="283">
        <v>1.0</v>
      </c>
      <c r="AK62" s="271">
        <v>46027.0</v>
      </c>
      <c r="AL62" s="271">
        <v>46032.0</v>
      </c>
      <c r="AM62" s="284"/>
      <c r="AN62" s="285">
        <v>46032.0</v>
      </c>
      <c r="AO62" s="262" t="s">
        <v>2253</v>
      </c>
      <c r="AP62" s="294" t="s">
        <v>2254</v>
      </c>
      <c r="AQ62" s="118" t="s">
        <v>2255</v>
      </c>
      <c r="AR62" s="286" t="s">
        <v>2256</v>
      </c>
      <c r="AS62" s="287">
        <v>23529.13</v>
      </c>
      <c r="AT62" s="287"/>
      <c r="AU62" s="288">
        <f>VLOOKUP(I62,DADOS!B:C,2,0)</f>
        <v>2381</v>
      </c>
      <c r="AV62" s="289">
        <f t="shared" si="7"/>
        <v>4960</v>
      </c>
      <c r="AW62" s="290">
        <v>0.06</v>
      </c>
      <c r="AX62" s="290"/>
      <c r="AY62" s="265"/>
      <c r="AZ62" s="291"/>
      <c r="BA62" s="292" t="s">
        <v>506</v>
      </c>
      <c r="BB62" s="293" t="s">
        <v>2257</v>
      </c>
      <c r="BC62" s="294"/>
      <c r="BD62" s="294"/>
      <c r="BE62" s="294"/>
      <c r="BF62" s="294"/>
      <c r="BG62" s="294">
        <f t="shared" si="8"/>
        <v>0</v>
      </c>
      <c r="BH62" s="294"/>
      <c r="BI62" s="294" t="s">
        <v>2254</v>
      </c>
      <c r="BJ62" s="295" t="s">
        <v>2258</v>
      </c>
      <c r="BK62" s="434" t="s">
        <v>429</v>
      </c>
      <c r="BL62" s="297"/>
      <c r="BM62" s="297"/>
      <c r="BN62" s="298"/>
      <c r="BO62" s="299"/>
      <c r="BP62" s="300"/>
      <c r="BQ62" s="300"/>
      <c r="BR62" s="300" t="str">
        <f t="shared" si="9"/>
        <v>#REF!</v>
      </c>
      <c r="BS62" s="300"/>
      <c r="BT62" s="300"/>
    </row>
    <row r="63">
      <c r="A63" s="261">
        <v>9.102353117E9</v>
      </c>
      <c r="B63" s="262" t="s">
        <v>2259</v>
      </c>
      <c r="C63" s="264" t="s">
        <v>93</v>
      </c>
      <c r="D63" s="264" t="s">
        <v>93</v>
      </c>
      <c r="E63" s="301" t="s">
        <v>2260</v>
      </c>
      <c r="F63" s="305" t="s">
        <v>772</v>
      </c>
      <c r="G63" s="266" t="s">
        <v>495</v>
      </c>
      <c r="H63" s="302"/>
      <c r="I63" s="268" t="s">
        <v>773</v>
      </c>
      <c r="J63" s="269" t="str">
        <f>VLOOKUP(I63,DADOS!B:F,5,0)</f>
        <v>GILVANDO RIOS DA CRUZ - NTS025538</v>
      </c>
      <c r="K63" s="270" t="s">
        <v>585</v>
      </c>
      <c r="L63" s="303" t="s">
        <v>4</v>
      </c>
      <c r="M63" s="262" t="s">
        <v>105</v>
      </c>
      <c r="N63" s="271">
        <v>46007.0</v>
      </c>
      <c r="O63" s="272" t="s">
        <v>1845</v>
      </c>
      <c r="P63" s="349">
        <v>46007.0</v>
      </c>
      <c r="Q63" s="341">
        <v>46007.0</v>
      </c>
      <c r="R63" s="271">
        <v>46030.0</v>
      </c>
      <c r="S63" s="275" t="s">
        <v>93</v>
      </c>
      <c r="T63" s="275" t="s">
        <v>93</v>
      </c>
      <c r="U63" s="275" t="s">
        <v>93</v>
      </c>
      <c r="V63" s="255" t="s">
        <v>2261</v>
      </c>
      <c r="W63" s="333">
        <v>46054.0</v>
      </c>
      <c r="X63" s="275" t="s">
        <v>93</v>
      </c>
      <c r="Y63" s="276"/>
      <c r="Z63" s="277"/>
      <c r="AA63" s="434"/>
      <c r="AB63" s="304" t="s">
        <v>2262</v>
      </c>
      <c r="AC63" s="262">
        <v>1.0</v>
      </c>
      <c r="AD63" s="262">
        <v>0.0</v>
      </c>
      <c r="AE63" s="262">
        <v>2.0</v>
      </c>
      <c r="AF63" s="280">
        <v>2.0</v>
      </c>
      <c r="AG63" s="280">
        <v>2.0</v>
      </c>
      <c r="AH63" s="281">
        <f t="shared" si="5"/>
        <v>0</v>
      </c>
      <c r="AI63" s="282">
        <f t="shared" si="6"/>
        <v>1</v>
      </c>
      <c r="AJ63" s="283">
        <v>1.0</v>
      </c>
      <c r="AK63" s="271">
        <v>46027.0</v>
      </c>
      <c r="AL63" s="271">
        <v>46032.0</v>
      </c>
      <c r="AM63" s="284"/>
      <c r="AN63" s="285">
        <v>46038.0</v>
      </c>
      <c r="AO63" s="262" t="s">
        <v>2263</v>
      </c>
      <c r="AP63" s="286" t="s">
        <v>2264</v>
      </c>
      <c r="AQ63" s="118" t="s">
        <v>2265</v>
      </c>
      <c r="AR63" s="286" t="s">
        <v>2266</v>
      </c>
      <c r="AS63" s="287">
        <v>13823.86</v>
      </c>
      <c r="AT63" s="287"/>
      <c r="AU63" s="288">
        <f>VLOOKUP(I63,DADOS!B:C,2,0)</f>
        <v>2305</v>
      </c>
      <c r="AV63" s="289">
        <f t="shared" si="7"/>
        <v>4960</v>
      </c>
      <c r="AW63" s="290"/>
      <c r="AX63" s="290"/>
      <c r="AY63" s="265"/>
      <c r="AZ63" s="291"/>
      <c r="BA63" s="292" t="s">
        <v>592</v>
      </c>
      <c r="BB63" s="293" t="s">
        <v>2267</v>
      </c>
      <c r="BC63" s="294"/>
      <c r="BD63" s="294"/>
      <c r="BE63" s="294"/>
      <c r="BF63" s="294"/>
      <c r="BG63" s="294">
        <f t="shared" si="8"/>
        <v>0</v>
      </c>
      <c r="BH63" s="294"/>
      <c r="BI63" s="324" t="s">
        <v>2264</v>
      </c>
      <c r="BJ63" s="424" t="s">
        <v>2268</v>
      </c>
      <c r="BK63" s="425" t="s">
        <v>102</v>
      </c>
      <c r="BL63" s="129"/>
      <c r="BM63" s="129"/>
      <c r="BN63" s="36"/>
      <c r="BO63" s="130"/>
      <c r="BP63" s="32"/>
      <c r="BQ63" s="32"/>
      <c r="BR63" s="300" t="str">
        <f t="shared" si="9"/>
        <v>#REF!</v>
      </c>
      <c r="BS63" s="300"/>
      <c r="BT63" s="300"/>
    </row>
    <row r="64">
      <c r="A64" s="437">
        <v>9.101580723E9</v>
      </c>
      <c r="B64" s="262" t="s">
        <v>2269</v>
      </c>
      <c r="C64" s="264" t="s">
        <v>93</v>
      </c>
      <c r="D64" s="264" t="s">
        <v>93</v>
      </c>
      <c r="E64" s="265" t="s">
        <v>2270</v>
      </c>
      <c r="F64" s="305" t="s">
        <v>772</v>
      </c>
      <c r="G64" s="266" t="s">
        <v>495</v>
      </c>
      <c r="H64" s="302"/>
      <c r="I64" s="268" t="s">
        <v>773</v>
      </c>
      <c r="J64" s="269" t="str">
        <f>VLOOKUP(I64,DADOS!B:F,5,0)</f>
        <v>GILVANDO RIOS DA CRUZ - NTS025538</v>
      </c>
      <c r="K64" s="270" t="s">
        <v>585</v>
      </c>
      <c r="L64" s="303" t="s">
        <v>4</v>
      </c>
      <c r="M64" s="262" t="s">
        <v>91</v>
      </c>
      <c r="N64" s="271">
        <v>46007.0</v>
      </c>
      <c r="O64" s="272" t="s">
        <v>1845</v>
      </c>
      <c r="P64" s="252">
        <v>46007.0</v>
      </c>
      <c r="Q64" s="341">
        <v>46010.0</v>
      </c>
      <c r="R64" s="271">
        <v>46030.0</v>
      </c>
      <c r="S64" s="254" t="s">
        <v>2271</v>
      </c>
      <c r="T64" s="274">
        <v>46054.0</v>
      </c>
      <c r="U64" s="275" t="s">
        <v>93</v>
      </c>
      <c r="V64" s="255" t="s">
        <v>2272</v>
      </c>
      <c r="W64" s="274">
        <v>46054.0</v>
      </c>
      <c r="X64" s="275" t="s">
        <v>93</v>
      </c>
      <c r="Y64" s="276"/>
      <c r="Z64" s="277"/>
      <c r="AA64" s="434" t="s">
        <v>2273</v>
      </c>
      <c r="AB64" s="477" t="s">
        <v>2274</v>
      </c>
      <c r="AC64" s="262">
        <v>3.0</v>
      </c>
      <c r="AD64" s="262">
        <v>0.0</v>
      </c>
      <c r="AE64" s="262">
        <f>19+1</f>
        <v>20</v>
      </c>
      <c r="AF64" s="280">
        <v>20.0</v>
      </c>
      <c r="AG64" s="280">
        <v>20.0</v>
      </c>
      <c r="AH64" s="281">
        <f t="shared" si="5"/>
        <v>0</v>
      </c>
      <c r="AI64" s="282">
        <f t="shared" si="6"/>
        <v>1</v>
      </c>
      <c r="AJ64" s="283">
        <v>0.5</v>
      </c>
      <c r="AK64" s="271">
        <v>46029.0</v>
      </c>
      <c r="AL64" s="271">
        <v>46044.0</v>
      </c>
      <c r="AM64" s="284"/>
      <c r="AN64" s="285">
        <v>46053.0</v>
      </c>
      <c r="AO64" s="262" t="s">
        <v>2275</v>
      </c>
      <c r="AP64" s="286" t="s">
        <v>2276</v>
      </c>
      <c r="AQ64" s="118" t="s">
        <v>2277</v>
      </c>
      <c r="AR64" s="286" t="s">
        <v>2278</v>
      </c>
      <c r="AS64" s="287">
        <v>207854.52</v>
      </c>
      <c r="AT64" s="287"/>
      <c r="AU64" s="288">
        <f>VLOOKUP(I64,DADOS!B:C,2,0)</f>
        <v>2305</v>
      </c>
      <c r="AV64" s="289">
        <f t="shared" si="7"/>
        <v>49600</v>
      </c>
      <c r="AW64" s="290">
        <v>0.135</v>
      </c>
      <c r="AX64" s="290"/>
      <c r="AY64" s="265"/>
      <c r="AZ64" s="291"/>
      <c r="BA64" s="292" t="s">
        <v>1255</v>
      </c>
      <c r="BB64" s="293" t="s">
        <v>2279</v>
      </c>
      <c r="BC64" s="294"/>
      <c r="BD64" s="294"/>
      <c r="BE64" s="294"/>
      <c r="BF64" s="294"/>
      <c r="BG64" s="294">
        <f t="shared" si="8"/>
        <v>0</v>
      </c>
      <c r="BH64" s="294"/>
      <c r="BI64" s="324" t="s">
        <v>2276</v>
      </c>
      <c r="BJ64" s="295" t="s">
        <v>2280</v>
      </c>
      <c r="BK64" s="425" t="s">
        <v>102</v>
      </c>
      <c r="BL64" s="297"/>
      <c r="BM64" s="297"/>
      <c r="BN64" s="298"/>
      <c r="BO64" s="299" t="s">
        <v>2281</v>
      </c>
      <c r="BP64" s="300"/>
      <c r="BQ64" s="300"/>
      <c r="BR64" s="300" t="str">
        <f t="shared" si="9"/>
        <v>#REF!</v>
      </c>
      <c r="BS64" s="300"/>
      <c r="BT64" s="300"/>
    </row>
    <row r="65">
      <c r="A65" s="261">
        <v>9.101883129E9</v>
      </c>
      <c r="B65" s="262" t="s">
        <v>2282</v>
      </c>
      <c r="C65" s="264" t="s">
        <v>93</v>
      </c>
      <c r="D65" s="264" t="s">
        <v>93</v>
      </c>
      <c r="E65" s="265" t="s">
        <v>2283</v>
      </c>
      <c r="F65" s="305" t="s">
        <v>2284</v>
      </c>
      <c r="G65" s="266" t="s">
        <v>495</v>
      </c>
      <c r="H65" s="478"/>
      <c r="I65" s="268" t="s">
        <v>2166</v>
      </c>
      <c r="J65" s="269" t="str">
        <f>VLOOKUP(I65,DADOS!B:F,5,0)</f>
        <v>ETEMILSON OLIVEIRA SANTOS - NTS149530</v>
      </c>
      <c r="K65" s="270" t="s">
        <v>608</v>
      </c>
      <c r="L65" s="303" t="s">
        <v>4</v>
      </c>
      <c r="M65" s="262" t="s">
        <v>91</v>
      </c>
      <c r="N65" s="271"/>
      <c r="O65" s="272"/>
      <c r="P65" s="349">
        <v>46009.0</v>
      </c>
      <c r="Q65" s="472">
        <v>46013.0</v>
      </c>
      <c r="R65" s="271">
        <v>46030.0</v>
      </c>
      <c r="S65" s="254" t="s">
        <v>2285</v>
      </c>
      <c r="T65" s="274">
        <v>46054.0</v>
      </c>
      <c r="U65" s="275" t="s">
        <v>93</v>
      </c>
      <c r="V65" s="255" t="str">
        <f t="shared" ref="V65:V66" si="11">S65</f>
        <v>2025-162676</v>
      </c>
      <c r="W65" s="274">
        <v>46054.0</v>
      </c>
      <c r="X65" s="275" t="s">
        <v>93</v>
      </c>
      <c r="Y65" s="276"/>
      <c r="Z65" s="277"/>
      <c r="AA65" s="479" t="s">
        <v>2286</v>
      </c>
      <c r="AB65" s="304" t="s">
        <v>2287</v>
      </c>
      <c r="AC65" s="262">
        <v>1.0</v>
      </c>
      <c r="AD65" s="262">
        <v>0.0</v>
      </c>
      <c r="AE65" s="262">
        <v>9.0</v>
      </c>
      <c r="AF65" s="280">
        <v>9.0</v>
      </c>
      <c r="AG65" s="280">
        <v>9.0</v>
      </c>
      <c r="AH65" s="281">
        <f t="shared" si="5"/>
        <v>0</v>
      </c>
      <c r="AI65" s="282">
        <f t="shared" si="6"/>
        <v>1</v>
      </c>
      <c r="AJ65" s="283">
        <v>1.0</v>
      </c>
      <c r="AK65" s="271">
        <v>46030.0</v>
      </c>
      <c r="AL65" s="271">
        <v>46036.0</v>
      </c>
      <c r="AM65" s="284"/>
      <c r="AN65" s="285">
        <v>46049.0</v>
      </c>
      <c r="AO65" s="262" t="s">
        <v>2288</v>
      </c>
      <c r="AP65" s="286" t="s">
        <v>2289</v>
      </c>
      <c r="AQ65" s="118" t="s">
        <v>2290</v>
      </c>
      <c r="AR65" s="286" t="s">
        <v>2291</v>
      </c>
      <c r="AS65" s="287">
        <v>52685.99</v>
      </c>
      <c r="AT65" s="287"/>
      <c r="AU65" s="288">
        <f>VLOOKUP(I65,DADOS!B:C,2,0)</f>
        <v>2339</v>
      </c>
      <c r="AV65" s="289">
        <f t="shared" si="7"/>
        <v>22320</v>
      </c>
      <c r="AW65" s="290"/>
      <c r="AX65" s="290"/>
      <c r="AY65" s="265"/>
      <c r="AZ65" s="291"/>
      <c r="BA65" s="292" t="s">
        <v>2292</v>
      </c>
      <c r="BB65" s="293" t="s">
        <v>2293</v>
      </c>
      <c r="BC65" s="294"/>
      <c r="BD65" s="294"/>
      <c r="BE65" s="294"/>
      <c r="BF65" s="294"/>
      <c r="BG65" s="294">
        <f t="shared" si="8"/>
        <v>0</v>
      </c>
      <c r="BH65" s="294"/>
      <c r="BI65" s="324" t="s">
        <v>2289</v>
      </c>
      <c r="BJ65" s="295" t="s">
        <v>2294</v>
      </c>
      <c r="BK65" s="425" t="s">
        <v>2295</v>
      </c>
      <c r="BL65" s="297"/>
      <c r="BM65" s="297"/>
      <c r="BN65" s="298"/>
      <c r="BO65" s="299" t="s">
        <v>2296</v>
      </c>
      <c r="BP65" s="300"/>
      <c r="BQ65" s="300"/>
      <c r="BR65" s="300" t="str">
        <f t="shared" si="9"/>
        <v>#REF!</v>
      </c>
      <c r="BS65" s="300"/>
      <c r="BT65" s="300"/>
    </row>
    <row r="66">
      <c r="A66" s="437">
        <v>9.101985272E9</v>
      </c>
      <c r="B66" s="262" t="s">
        <v>2297</v>
      </c>
      <c r="C66" s="264" t="s">
        <v>93</v>
      </c>
      <c r="D66" s="264" t="s">
        <v>93</v>
      </c>
      <c r="E66" s="480" t="s">
        <v>2298</v>
      </c>
      <c r="F66" s="481" t="s">
        <v>2284</v>
      </c>
      <c r="G66" s="266" t="s">
        <v>495</v>
      </c>
      <c r="H66" s="302" t="s">
        <v>1819</v>
      </c>
      <c r="I66" s="268" t="s">
        <v>805</v>
      </c>
      <c r="J66" s="269" t="str">
        <f>VLOOKUP(I66,DADOS!B:F,5,0)</f>
        <v>ETEMILSON OLIVEIRA SANTOS - NTS149530</v>
      </c>
      <c r="K66" s="270" t="s">
        <v>131</v>
      </c>
      <c r="L66" s="303" t="s">
        <v>4</v>
      </c>
      <c r="M66" s="262" t="s">
        <v>91</v>
      </c>
      <c r="N66" s="271">
        <v>46010.0</v>
      </c>
      <c r="O66" s="272" t="s">
        <v>2299</v>
      </c>
      <c r="P66" s="349">
        <v>46010.0</v>
      </c>
      <c r="Q66" s="422">
        <v>46013.0</v>
      </c>
      <c r="R66" s="271">
        <v>46030.0</v>
      </c>
      <c r="S66" s="254" t="s">
        <v>2300</v>
      </c>
      <c r="T66" s="274">
        <v>46054.0</v>
      </c>
      <c r="U66" s="275" t="s">
        <v>93</v>
      </c>
      <c r="V66" s="255" t="str">
        <f t="shared" si="11"/>
        <v>2025-162685</v>
      </c>
      <c r="W66" s="274">
        <v>46054.0</v>
      </c>
      <c r="X66" s="275" t="s">
        <v>93</v>
      </c>
      <c r="Y66" s="276"/>
      <c r="Z66" s="277"/>
      <c r="AA66" s="479" t="s">
        <v>2301</v>
      </c>
      <c r="AB66" s="304" t="s">
        <v>2302</v>
      </c>
      <c r="AC66" s="262">
        <v>1.0</v>
      </c>
      <c r="AD66" s="262">
        <v>0.0</v>
      </c>
      <c r="AE66" s="262">
        <v>8.0</v>
      </c>
      <c r="AF66" s="280">
        <v>8.0</v>
      </c>
      <c r="AG66" s="280">
        <v>8.0</v>
      </c>
      <c r="AH66" s="281">
        <f t="shared" si="5"/>
        <v>0</v>
      </c>
      <c r="AI66" s="282">
        <f t="shared" si="6"/>
        <v>1</v>
      </c>
      <c r="AJ66" s="283">
        <v>0.5</v>
      </c>
      <c r="AK66" s="271">
        <v>46031.0</v>
      </c>
      <c r="AL66" s="271">
        <v>46037.0</v>
      </c>
      <c r="AM66" s="284"/>
      <c r="AN66" s="285">
        <v>46050.0</v>
      </c>
      <c r="AO66" s="262" t="s">
        <v>2303</v>
      </c>
      <c r="AP66" s="286" t="s">
        <v>2304</v>
      </c>
      <c r="AQ66" s="118" t="s">
        <v>2305</v>
      </c>
      <c r="AR66" s="286" t="s">
        <v>2306</v>
      </c>
      <c r="AS66" s="287">
        <v>67450.05</v>
      </c>
      <c r="AT66" s="287"/>
      <c r="AU66" s="288">
        <f>VLOOKUP(I66,DADOS!B:C,2,0)</f>
        <v>2302</v>
      </c>
      <c r="AV66" s="289">
        <f t="shared" si="7"/>
        <v>19840</v>
      </c>
      <c r="AW66" s="290"/>
      <c r="AX66" s="290"/>
      <c r="AY66" s="265"/>
      <c r="AZ66" s="291"/>
      <c r="BA66" s="292" t="s">
        <v>2307</v>
      </c>
      <c r="BB66" s="293" t="s">
        <v>2308</v>
      </c>
      <c r="BC66" s="294"/>
      <c r="BD66" s="294"/>
      <c r="BE66" s="294"/>
      <c r="BF66" s="294"/>
      <c r="BG66" s="294">
        <f t="shared" si="8"/>
        <v>0</v>
      </c>
      <c r="BH66" s="294"/>
      <c r="BI66" s="324" t="s">
        <v>2304</v>
      </c>
      <c r="BJ66" s="295" t="s">
        <v>2309</v>
      </c>
      <c r="BK66" s="482" t="s">
        <v>2310</v>
      </c>
      <c r="BL66" s="297"/>
      <c r="BM66" s="297"/>
      <c r="BN66" s="298"/>
      <c r="BO66" s="299" t="s">
        <v>2311</v>
      </c>
      <c r="BP66" s="300"/>
      <c r="BQ66" s="300"/>
      <c r="BR66" s="300" t="str">
        <f t="shared" si="9"/>
        <v>#REF!</v>
      </c>
      <c r="BS66" s="32"/>
      <c r="BT66" s="32"/>
    </row>
    <row r="67" ht="20.25" customHeight="1">
      <c r="A67" s="437">
        <v>9.101802498E9</v>
      </c>
      <c r="B67" s="262" t="s">
        <v>2312</v>
      </c>
      <c r="C67" s="142" t="s">
        <v>2313</v>
      </c>
      <c r="D67" s="142" t="s">
        <v>2314</v>
      </c>
      <c r="E67" s="265" t="s">
        <v>2315</v>
      </c>
      <c r="F67" s="481" t="s">
        <v>2284</v>
      </c>
      <c r="G67" s="266" t="s">
        <v>495</v>
      </c>
      <c r="H67" s="302"/>
      <c r="I67" s="268" t="s">
        <v>496</v>
      </c>
      <c r="J67" s="269" t="str">
        <f>VLOOKUP(I67,DADOS!B:F,5,0)</f>
        <v>ETEMILSON OLIVEIRA SANTOS - NTS149530</v>
      </c>
      <c r="K67" s="270" t="s">
        <v>608</v>
      </c>
      <c r="L67" s="262" t="s">
        <v>1285</v>
      </c>
      <c r="M67" s="262" t="s">
        <v>91</v>
      </c>
      <c r="N67" s="271"/>
      <c r="O67" s="272"/>
      <c r="P67" s="349">
        <v>46010.0</v>
      </c>
      <c r="Q67" s="422">
        <v>46013.0</v>
      </c>
      <c r="R67" s="271">
        <v>46030.0</v>
      </c>
      <c r="S67" s="254" t="s">
        <v>2316</v>
      </c>
      <c r="T67" s="274">
        <v>46054.0</v>
      </c>
      <c r="U67" s="254" t="s">
        <v>2317</v>
      </c>
      <c r="V67" s="255" t="str">
        <f t="shared" ref="V67:V68" si="12">X67</f>
        <v>2025-162618</v>
      </c>
      <c r="W67" s="333"/>
      <c r="X67" s="254" t="s">
        <v>2318</v>
      </c>
      <c r="Y67" s="276">
        <v>46042.0</v>
      </c>
      <c r="Z67" s="277" t="s">
        <v>448</v>
      </c>
      <c r="AA67" s="479" t="s">
        <v>2319</v>
      </c>
      <c r="AB67" s="304" t="s">
        <v>2320</v>
      </c>
      <c r="AC67" s="262">
        <v>1.0</v>
      </c>
      <c r="AD67" s="262">
        <v>0.0</v>
      </c>
      <c r="AE67" s="262">
        <v>9.0</v>
      </c>
      <c r="AF67" s="280">
        <v>9.0</v>
      </c>
      <c r="AG67" s="280">
        <v>9.0</v>
      </c>
      <c r="AH67" s="281">
        <f t="shared" si="5"/>
        <v>0</v>
      </c>
      <c r="AI67" s="282">
        <f t="shared" si="6"/>
        <v>1</v>
      </c>
      <c r="AJ67" s="283">
        <v>0.5</v>
      </c>
      <c r="AK67" s="271">
        <v>46035.0</v>
      </c>
      <c r="AL67" s="271">
        <v>46042.0</v>
      </c>
      <c r="AM67" s="284"/>
      <c r="AN67" s="285">
        <v>46042.0</v>
      </c>
      <c r="AO67" s="262" t="s">
        <v>2321</v>
      </c>
      <c r="AP67" s="286" t="s">
        <v>2322</v>
      </c>
      <c r="AQ67" s="118" t="s">
        <v>2323</v>
      </c>
      <c r="AR67" s="286" t="s">
        <v>2324</v>
      </c>
      <c r="AS67" s="287">
        <v>61732.52</v>
      </c>
      <c r="AT67" s="287"/>
      <c r="AU67" s="288">
        <f>VLOOKUP(I67,DADOS!B:C,2,0)</f>
        <v>2300</v>
      </c>
      <c r="AV67" s="289">
        <f t="shared" si="7"/>
        <v>22320</v>
      </c>
      <c r="AW67" s="290"/>
      <c r="AX67" s="290"/>
      <c r="AY67" s="265"/>
      <c r="AZ67" s="291"/>
      <c r="BA67" s="292" t="s">
        <v>2307</v>
      </c>
      <c r="BB67" s="293" t="s">
        <v>2325</v>
      </c>
      <c r="BC67" s="294"/>
      <c r="BD67" s="294"/>
      <c r="BE67" s="294"/>
      <c r="BF67" s="294"/>
      <c r="BG67" s="294">
        <f t="shared" si="8"/>
        <v>0</v>
      </c>
      <c r="BH67" s="294"/>
      <c r="BI67" s="294" t="s">
        <v>2322</v>
      </c>
      <c r="BJ67" s="295" t="s">
        <v>2326</v>
      </c>
      <c r="BK67" s="444" t="s">
        <v>102</v>
      </c>
      <c r="BL67" s="129"/>
      <c r="BM67" s="129"/>
      <c r="BN67" s="36"/>
      <c r="BO67" s="130"/>
      <c r="BP67" s="32"/>
      <c r="BQ67" s="32"/>
      <c r="BR67" s="300" t="str">
        <f t="shared" si="9"/>
        <v>#REF!</v>
      </c>
      <c r="BS67" s="32"/>
      <c r="BT67" s="32"/>
    </row>
    <row r="68">
      <c r="A68" s="261">
        <v>9.102084119E9</v>
      </c>
      <c r="B68" s="262" t="s">
        <v>2327</v>
      </c>
      <c r="C68" s="264" t="s">
        <v>93</v>
      </c>
      <c r="D68" s="264" t="s">
        <v>93</v>
      </c>
      <c r="E68" s="265" t="s">
        <v>2328</v>
      </c>
      <c r="F68" s="481" t="s">
        <v>2284</v>
      </c>
      <c r="G68" s="266" t="s">
        <v>495</v>
      </c>
      <c r="H68" s="302" t="s">
        <v>1819</v>
      </c>
      <c r="I68" s="268" t="s">
        <v>805</v>
      </c>
      <c r="J68" s="269" t="str">
        <f>VLOOKUP(I68,DADOS!B:F,5,0)</f>
        <v>ETEMILSON OLIVEIRA SANTOS - NTS149530</v>
      </c>
      <c r="K68" s="270" t="s">
        <v>608</v>
      </c>
      <c r="L68" s="262" t="s">
        <v>199</v>
      </c>
      <c r="M68" s="262" t="s">
        <v>200</v>
      </c>
      <c r="N68" s="271"/>
      <c r="O68" s="476"/>
      <c r="P68" s="349">
        <v>46010.0</v>
      </c>
      <c r="Q68" s="422">
        <v>46013.0</v>
      </c>
      <c r="R68" s="271">
        <v>46030.0</v>
      </c>
      <c r="S68" s="254" t="s">
        <v>2329</v>
      </c>
      <c r="T68" s="274">
        <v>46054.0</v>
      </c>
      <c r="U68" s="275" t="s">
        <v>2330</v>
      </c>
      <c r="V68" s="255" t="str">
        <f t="shared" si="12"/>
        <v>2025-162621</v>
      </c>
      <c r="W68" s="333"/>
      <c r="X68" s="254" t="s">
        <v>2331</v>
      </c>
      <c r="Y68" s="276">
        <v>46043.0</v>
      </c>
      <c r="Z68" s="277" t="s">
        <v>448</v>
      </c>
      <c r="AA68" s="479" t="s">
        <v>2332</v>
      </c>
      <c r="AB68" s="304" t="s">
        <v>2333</v>
      </c>
      <c r="AC68" s="262">
        <v>0.0</v>
      </c>
      <c r="AD68" s="262">
        <v>0.0</v>
      </c>
      <c r="AE68" s="262">
        <v>9.0</v>
      </c>
      <c r="AF68" s="280">
        <v>9.0</v>
      </c>
      <c r="AG68" s="280">
        <v>9.0</v>
      </c>
      <c r="AH68" s="281">
        <f t="shared" si="5"/>
        <v>0</v>
      </c>
      <c r="AI68" s="282">
        <f t="shared" si="6"/>
        <v>1</v>
      </c>
      <c r="AJ68" s="283">
        <v>1.0</v>
      </c>
      <c r="AK68" s="271">
        <v>46035.0</v>
      </c>
      <c r="AL68" s="271">
        <v>46043.0</v>
      </c>
      <c r="AM68" s="284"/>
      <c r="AN68" s="285">
        <v>46043.0</v>
      </c>
      <c r="AO68" s="262" t="s">
        <v>2334</v>
      </c>
      <c r="AP68" s="286" t="s">
        <v>2335</v>
      </c>
      <c r="AQ68" s="118" t="s">
        <v>2336</v>
      </c>
      <c r="AR68" s="286" t="s">
        <v>2337</v>
      </c>
      <c r="AS68" s="287">
        <v>120745.65</v>
      </c>
      <c r="AT68" s="287"/>
      <c r="AU68" s="288">
        <f>VLOOKUP(I68,DADOS!B:C,2,0)</f>
        <v>2302</v>
      </c>
      <c r="AV68" s="289">
        <f t="shared" si="7"/>
        <v>22320</v>
      </c>
      <c r="AW68" s="290"/>
      <c r="AX68" s="290"/>
      <c r="AY68" s="265"/>
      <c r="AZ68" s="291"/>
      <c r="BA68" s="292" t="s">
        <v>2307</v>
      </c>
      <c r="BB68" s="293" t="s">
        <v>2338</v>
      </c>
      <c r="BC68" s="459"/>
      <c r="BD68" s="459"/>
      <c r="BE68" s="459"/>
      <c r="BF68" s="459"/>
      <c r="BG68" s="459">
        <f t="shared" si="8"/>
        <v>0</v>
      </c>
      <c r="BH68" s="459"/>
      <c r="BI68" s="294" t="s">
        <v>2335</v>
      </c>
      <c r="BJ68" s="483" t="s">
        <v>2339</v>
      </c>
      <c r="BK68" s="275" t="s">
        <v>102</v>
      </c>
      <c r="BL68" s="297"/>
      <c r="BM68" s="297"/>
      <c r="BN68" s="298"/>
      <c r="BO68" s="299"/>
      <c r="BP68" s="300"/>
      <c r="BQ68" s="300"/>
      <c r="BR68" s="300" t="str">
        <f t="shared" si="9"/>
        <v>#REF!</v>
      </c>
      <c r="BS68" s="32"/>
      <c r="BT68" s="32"/>
    </row>
    <row r="69">
      <c r="A69" s="261">
        <v>9.101970159E9</v>
      </c>
      <c r="B69" s="484" t="s">
        <v>2340</v>
      </c>
      <c r="C69" s="264" t="s">
        <v>93</v>
      </c>
      <c r="D69" s="264" t="s">
        <v>93</v>
      </c>
      <c r="E69" s="265" t="s">
        <v>2341</v>
      </c>
      <c r="F69" s="305" t="s">
        <v>2284</v>
      </c>
      <c r="G69" s="266" t="s">
        <v>495</v>
      </c>
      <c r="H69" s="478" t="s">
        <v>2342</v>
      </c>
      <c r="I69" s="268" t="s">
        <v>2166</v>
      </c>
      <c r="J69" s="269" t="str">
        <f>VLOOKUP(I69,DADOS!B:F,5,0)</f>
        <v>ETEMILSON OLIVEIRA SANTOS - NTS149530</v>
      </c>
      <c r="K69" s="270" t="s">
        <v>608</v>
      </c>
      <c r="L69" s="303" t="s">
        <v>4</v>
      </c>
      <c r="M69" s="262" t="s">
        <v>164</v>
      </c>
      <c r="N69" s="271"/>
      <c r="O69" s="272"/>
      <c r="P69" s="335">
        <v>46009.0</v>
      </c>
      <c r="Q69" s="422">
        <v>46009.0</v>
      </c>
      <c r="R69" s="271">
        <v>46030.0</v>
      </c>
      <c r="S69" s="254" t="s">
        <v>2343</v>
      </c>
      <c r="T69" s="274">
        <v>46054.0</v>
      </c>
      <c r="U69" s="275" t="s">
        <v>93</v>
      </c>
      <c r="V69" s="255" t="s">
        <v>2344</v>
      </c>
      <c r="W69" s="274">
        <v>46054.0</v>
      </c>
      <c r="X69" s="275" t="s">
        <v>93</v>
      </c>
      <c r="Y69" s="276"/>
      <c r="Z69" s="277"/>
      <c r="AA69" s="434" t="s">
        <v>2345</v>
      </c>
      <c r="AB69" s="321" t="s">
        <v>2346</v>
      </c>
      <c r="AC69" s="262">
        <v>1.0</v>
      </c>
      <c r="AD69" s="262">
        <v>0.0</v>
      </c>
      <c r="AE69" s="262">
        <v>7.0</v>
      </c>
      <c r="AF69" s="280">
        <v>7.0</v>
      </c>
      <c r="AG69" s="280">
        <v>7.0</v>
      </c>
      <c r="AH69" s="281">
        <f t="shared" si="5"/>
        <v>0</v>
      </c>
      <c r="AI69" s="282">
        <f t="shared" si="6"/>
        <v>1</v>
      </c>
      <c r="AJ69" s="283">
        <v>1.0</v>
      </c>
      <c r="AK69" s="271">
        <v>46031.0</v>
      </c>
      <c r="AL69" s="271">
        <v>46038.0</v>
      </c>
      <c r="AM69" s="284"/>
      <c r="AN69" s="285">
        <v>46044.0</v>
      </c>
      <c r="AO69" s="262" t="s">
        <v>2347</v>
      </c>
      <c r="AP69" s="286" t="s">
        <v>2348</v>
      </c>
      <c r="AQ69" s="118" t="s">
        <v>2349</v>
      </c>
      <c r="AR69" s="286" t="s">
        <v>2350</v>
      </c>
      <c r="AS69" s="287">
        <v>50035.81</v>
      </c>
      <c r="AT69" s="287"/>
      <c r="AU69" s="288">
        <f>VLOOKUP(I69,DADOS!B:C,2,0)</f>
        <v>2339</v>
      </c>
      <c r="AV69" s="289">
        <f t="shared" si="7"/>
        <v>17360</v>
      </c>
      <c r="AW69" s="290">
        <v>0.36</v>
      </c>
      <c r="AX69" s="290"/>
      <c r="AY69" s="265"/>
      <c r="AZ69" s="291"/>
      <c r="BA69" s="292" t="s">
        <v>254</v>
      </c>
      <c r="BB69" s="293" t="s">
        <v>2293</v>
      </c>
      <c r="BC69" s="294"/>
      <c r="BD69" s="294"/>
      <c r="BE69" s="294"/>
      <c r="BF69" s="294"/>
      <c r="BG69" s="294">
        <f t="shared" si="8"/>
        <v>0</v>
      </c>
      <c r="BH69" s="294"/>
      <c r="BI69" s="324" t="s">
        <v>2348</v>
      </c>
      <c r="BJ69" s="295" t="s">
        <v>2351</v>
      </c>
      <c r="BK69" s="482" t="s">
        <v>2344</v>
      </c>
      <c r="BL69" s="297"/>
      <c r="BM69" s="297"/>
      <c r="BN69" s="298"/>
      <c r="BO69" s="299" t="s">
        <v>2352</v>
      </c>
      <c r="BP69" s="300"/>
      <c r="BQ69" s="300"/>
      <c r="BR69" s="300" t="str">
        <f>VLOOKUP(E70,'Página133'!C:C,1,0)</f>
        <v>#REF!</v>
      </c>
      <c r="BS69" s="300"/>
      <c r="BT69" s="300"/>
    </row>
    <row r="70">
      <c r="A70" s="261">
        <v>9.102046962E9</v>
      </c>
      <c r="B70" s="262" t="s">
        <v>2353</v>
      </c>
      <c r="C70" s="142" t="s">
        <v>2354</v>
      </c>
      <c r="D70" s="142" t="s">
        <v>2355</v>
      </c>
      <c r="E70" s="485" t="s">
        <v>2356</v>
      </c>
      <c r="F70" s="481" t="s">
        <v>2284</v>
      </c>
      <c r="G70" s="266" t="s">
        <v>495</v>
      </c>
      <c r="H70" s="302" t="s">
        <v>1700</v>
      </c>
      <c r="I70" s="268" t="s">
        <v>2166</v>
      </c>
      <c r="J70" s="269" t="str">
        <f>VLOOKUP(I70,DADOS!B:F,5,0)</f>
        <v>ETEMILSON OLIVEIRA SANTOS - NTS149530</v>
      </c>
      <c r="K70" s="270" t="s">
        <v>608</v>
      </c>
      <c r="L70" s="262" t="s">
        <v>444</v>
      </c>
      <c r="M70" s="262" t="s">
        <v>559</v>
      </c>
      <c r="N70" s="271"/>
      <c r="O70" s="272"/>
      <c r="P70" s="335">
        <v>46009.0</v>
      </c>
      <c r="Q70" s="422">
        <v>46009.0</v>
      </c>
      <c r="R70" s="271">
        <v>46030.0</v>
      </c>
      <c r="S70" s="254" t="s">
        <v>2357</v>
      </c>
      <c r="T70" s="274">
        <v>46054.0</v>
      </c>
      <c r="U70" s="275" t="s">
        <v>93</v>
      </c>
      <c r="V70" s="255" t="str">
        <f>S70</f>
        <v>2025-162699</v>
      </c>
      <c r="W70" s="274">
        <v>46054.0</v>
      </c>
      <c r="X70" s="275" t="s">
        <v>93</v>
      </c>
      <c r="Y70" s="276"/>
      <c r="Z70" s="277"/>
      <c r="AA70" s="434"/>
      <c r="AB70" s="304" t="s">
        <v>2358</v>
      </c>
      <c r="AC70" s="262">
        <v>1.0</v>
      </c>
      <c r="AD70" s="262">
        <v>0.0</v>
      </c>
      <c r="AE70" s="262">
        <v>3.0</v>
      </c>
      <c r="AF70" s="280">
        <v>3.0</v>
      </c>
      <c r="AG70" s="280">
        <v>3.0</v>
      </c>
      <c r="AH70" s="281">
        <f t="shared" si="5"/>
        <v>0</v>
      </c>
      <c r="AI70" s="282">
        <f t="shared" si="6"/>
        <v>1</v>
      </c>
      <c r="AJ70" s="283">
        <v>1.0</v>
      </c>
      <c r="AK70" s="271">
        <v>46034.0</v>
      </c>
      <c r="AL70" s="271">
        <v>46041.0</v>
      </c>
      <c r="AM70" s="284"/>
      <c r="AN70" s="285">
        <v>46037.0</v>
      </c>
      <c r="AO70" s="262" t="s">
        <v>2359</v>
      </c>
      <c r="AP70" s="286" t="s">
        <v>2360</v>
      </c>
      <c r="AQ70" s="118" t="s">
        <v>2361</v>
      </c>
      <c r="AR70" s="286" t="s">
        <v>2362</v>
      </c>
      <c r="AS70" s="287">
        <v>24972.74</v>
      </c>
      <c r="AT70" s="287"/>
      <c r="AU70" s="288">
        <f>VLOOKUP(I70,DADOS!B:C,2,0)</f>
        <v>2339</v>
      </c>
      <c r="AV70" s="289">
        <f t="shared" si="7"/>
        <v>7440</v>
      </c>
      <c r="AW70" s="290">
        <v>0.245</v>
      </c>
      <c r="AX70" s="290"/>
      <c r="AY70" s="265"/>
      <c r="AZ70" s="291"/>
      <c r="BA70" s="292" t="s">
        <v>2363</v>
      </c>
      <c r="BB70" s="293" t="s">
        <v>2364</v>
      </c>
      <c r="BC70" s="294"/>
      <c r="BD70" s="294"/>
      <c r="BE70" s="294"/>
      <c r="BF70" s="294"/>
      <c r="BG70" s="294">
        <f t="shared" si="8"/>
        <v>0</v>
      </c>
      <c r="BH70" s="294"/>
      <c r="BI70" s="324" t="s">
        <v>2360</v>
      </c>
      <c r="BJ70" s="295" t="s">
        <v>2365</v>
      </c>
      <c r="BK70" s="425" t="s">
        <v>2366</v>
      </c>
      <c r="BL70" s="129"/>
      <c r="BM70" s="129"/>
      <c r="BN70" s="36"/>
      <c r="BO70" s="130"/>
      <c r="BP70" s="32"/>
      <c r="BQ70" s="32"/>
      <c r="BR70" s="300" t="str">
        <f t="shared" ref="BR70:BR106" si="13">VLOOKUP(B70,'Página133'!C:C,1,0)</f>
        <v>#REF!</v>
      </c>
      <c r="BS70" s="300"/>
      <c r="BT70" s="300"/>
    </row>
    <row r="71">
      <c r="A71" s="261">
        <v>9.102144391E9</v>
      </c>
      <c r="B71" s="262" t="s">
        <v>2367</v>
      </c>
      <c r="C71" s="355" t="s">
        <v>2368</v>
      </c>
      <c r="D71" s="264" t="s">
        <v>2369</v>
      </c>
      <c r="E71" s="265" t="s">
        <v>2370</v>
      </c>
      <c r="F71" s="305" t="s">
        <v>2284</v>
      </c>
      <c r="G71" s="266" t="s">
        <v>495</v>
      </c>
      <c r="H71" s="302" t="s">
        <v>2111</v>
      </c>
      <c r="I71" s="268" t="s">
        <v>496</v>
      </c>
      <c r="J71" s="269" t="str">
        <f>VLOOKUP(I71,DADOS!B:F,5,0)</f>
        <v>ETEMILSON OLIVEIRA SANTOS - NTS149530</v>
      </c>
      <c r="K71" s="270" t="s">
        <v>608</v>
      </c>
      <c r="L71" s="262" t="s">
        <v>16</v>
      </c>
      <c r="M71" s="262" t="s">
        <v>91</v>
      </c>
      <c r="N71" s="271">
        <v>46010.0</v>
      </c>
      <c r="O71" s="272" t="s">
        <v>2371</v>
      </c>
      <c r="P71" s="335">
        <v>46008.0</v>
      </c>
      <c r="Q71" s="486">
        <v>46009.0</v>
      </c>
      <c r="R71" s="262" t="s">
        <v>2372</v>
      </c>
      <c r="S71" s="275" t="s">
        <v>93</v>
      </c>
      <c r="T71" s="275" t="s">
        <v>93</v>
      </c>
      <c r="U71" s="275" t="s">
        <v>93</v>
      </c>
      <c r="V71" s="296" t="s">
        <v>2373</v>
      </c>
      <c r="W71" s="333">
        <v>46054.0</v>
      </c>
      <c r="X71" s="275" t="s">
        <v>93</v>
      </c>
      <c r="Y71" s="276"/>
      <c r="Z71" s="277"/>
      <c r="AA71" s="434" t="s">
        <v>2374</v>
      </c>
      <c r="AB71" s="321" t="s">
        <v>2375</v>
      </c>
      <c r="AC71" s="262">
        <f>2+2</f>
        <v>4</v>
      </c>
      <c r="AD71" s="263">
        <v>3.0</v>
      </c>
      <c r="AE71" s="262">
        <f>7+3</f>
        <v>10</v>
      </c>
      <c r="AF71" s="280">
        <v>10.0</v>
      </c>
      <c r="AG71" s="280">
        <v>10.0</v>
      </c>
      <c r="AH71" s="281">
        <f t="shared" si="5"/>
        <v>0</v>
      </c>
      <c r="AI71" s="282">
        <f t="shared" si="6"/>
        <v>1</v>
      </c>
      <c r="AJ71" s="283">
        <v>1.0</v>
      </c>
      <c r="AK71" s="271">
        <v>46024.0</v>
      </c>
      <c r="AL71" s="271">
        <v>46028.0</v>
      </c>
      <c r="AM71" s="284"/>
      <c r="AN71" s="285">
        <v>46028.0</v>
      </c>
      <c r="AO71" s="262" t="s">
        <v>2376</v>
      </c>
      <c r="AP71" s="286" t="s">
        <v>2377</v>
      </c>
      <c r="AQ71" s="118" t="s">
        <v>2378</v>
      </c>
      <c r="AR71" s="286" t="s">
        <v>2379</v>
      </c>
      <c r="AS71" s="287">
        <v>42075.18</v>
      </c>
      <c r="AT71" s="287"/>
      <c r="AU71" s="288">
        <f>VLOOKUP(I71,DADOS!B:C,2,0)</f>
        <v>2300</v>
      </c>
      <c r="AV71" s="289">
        <f t="shared" si="7"/>
        <v>24800</v>
      </c>
      <c r="AW71" s="290"/>
      <c r="AX71" s="290"/>
      <c r="AY71" s="265"/>
      <c r="AZ71" s="291"/>
      <c r="BA71" s="292" t="s">
        <v>254</v>
      </c>
      <c r="BB71" s="293" t="s">
        <v>2380</v>
      </c>
      <c r="BC71" s="294"/>
      <c r="BD71" s="294"/>
      <c r="BE71" s="294"/>
      <c r="BF71" s="294"/>
      <c r="BG71" s="294">
        <f t="shared" si="8"/>
        <v>0</v>
      </c>
      <c r="BH71" s="294"/>
      <c r="BI71" s="324" t="s">
        <v>2377</v>
      </c>
      <c r="BJ71" s="424" t="s">
        <v>2381</v>
      </c>
      <c r="BK71" s="317" t="s">
        <v>102</v>
      </c>
      <c r="BL71" s="297"/>
      <c r="BM71" s="297"/>
      <c r="BN71" s="298"/>
      <c r="BO71" s="299"/>
      <c r="BP71" s="300"/>
      <c r="BQ71" s="300"/>
      <c r="BR71" s="300" t="str">
        <f t="shared" si="13"/>
        <v>#REF!</v>
      </c>
      <c r="BS71" s="300"/>
      <c r="BT71" s="300"/>
    </row>
    <row r="72">
      <c r="A72" s="437">
        <v>9.102334392E9</v>
      </c>
      <c r="B72" s="262" t="s">
        <v>2382</v>
      </c>
      <c r="C72" s="264" t="s">
        <v>93</v>
      </c>
      <c r="D72" s="264" t="s">
        <v>93</v>
      </c>
      <c r="E72" s="301" t="s">
        <v>2383</v>
      </c>
      <c r="F72" s="305" t="s">
        <v>2284</v>
      </c>
      <c r="G72" s="266" t="s">
        <v>495</v>
      </c>
      <c r="H72" s="302" t="s">
        <v>1700</v>
      </c>
      <c r="I72" s="268" t="s">
        <v>2166</v>
      </c>
      <c r="J72" s="269" t="str">
        <f>VLOOKUP(I72,DADOS!B:F,5,0)</f>
        <v>ETEMILSON OLIVEIRA SANTOS - NTS149530</v>
      </c>
      <c r="K72" s="270" t="s">
        <v>608</v>
      </c>
      <c r="L72" s="262" t="s">
        <v>444</v>
      </c>
      <c r="M72" s="262" t="s">
        <v>105</v>
      </c>
      <c r="N72" s="271"/>
      <c r="O72" s="272"/>
      <c r="P72" s="335">
        <v>46008.0</v>
      </c>
      <c r="Q72" s="486">
        <v>46008.0</v>
      </c>
      <c r="R72" s="271">
        <v>46030.0</v>
      </c>
      <c r="S72" s="254" t="s">
        <v>2384</v>
      </c>
      <c r="T72" s="274">
        <v>46054.0</v>
      </c>
      <c r="U72" s="254" t="s">
        <v>2385</v>
      </c>
      <c r="V72" s="255" t="str">
        <f>S72</f>
        <v>2025-162703</v>
      </c>
      <c r="W72" s="274">
        <v>46054.0</v>
      </c>
      <c r="X72" s="275" t="s">
        <v>93</v>
      </c>
      <c r="Y72" s="276"/>
      <c r="Z72" s="277"/>
      <c r="AA72" s="434" t="s">
        <v>2386</v>
      </c>
      <c r="AB72" s="321" t="s">
        <v>2387</v>
      </c>
      <c r="AC72" s="262">
        <v>1.0</v>
      </c>
      <c r="AD72" s="262">
        <v>0.0</v>
      </c>
      <c r="AE72" s="262">
        <v>9.0</v>
      </c>
      <c r="AF72" s="280">
        <v>9.0</v>
      </c>
      <c r="AG72" s="280">
        <v>9.0</v>
      </c>
      <c r="AH72" s="281">
        <f t="shared" si="5"/>
        <v>0</v>
      </c>
      <c r="AI72" s="282">
        <f t="shared" si="6"/>
        <v>1</v>
      </c>
      <c r="AJ72" s="283">
        <v>0.5</v>
      </c>
      <c r="AK72" s="271">
        <v>46036.0</v>
      </c>
      <c r="AL72" s="271">
        <v>46043.0</v>
      </c>
      <c r="AM72" s="284"/>
      <c r="AN72" s="285">
        <v>46045.0</v>
      </c>
      <c r="AO72" s="262" t="s">
        <v>2388</v>
      </c>
      <c r="AP72" s="286" t="s">
        <v>2389</v>
      </c>
      <c r="AQ72" s="118" t="s">
        <v>2390</v>
      </c>
      <c r="AR72" s="286" t="s">
        <v>2391</v>
      </c>
      <c r="AS72" s="287">
        <v>86312.08</v>
      </c>
      <c r="AT72" s="287"/>
      <c r="AU72" s="288">
        <f>VLOOKUP(I72,DADOS!B:C,2,0)</f>
        <v>2339</v>
      </c>
      <c r="AV72" s="289">
        <f t="shared" si="7"/>
        <v>22320</v>
      </c>
      <c r="AW72" s="290"/>
      <c r="AX72" s="290"/>
      <c r="AY72" s="265"/>
      <c r="AZ72" s="291"/>
      <c r="BA72" s="292" t="s">
        <v>1174</v>
      </c>
      <c r="BB72" s="293" t="s">
        <v>2392</v>
      </c>
      <c r="BC72" s="294"/>
      <c r="BD72" s="294"/>
      <c r="BE72" s="294"/>
      <c r="BF72" s="294"/>
      <c r="BG72" s="294">
        <f t="shared" si="8"/>
        <v>0</v>
      </c>
      <c r="BH72" s="294"/>
      <c r="BI72" s="324" t="s">
        <v>2389</v>
      </c>
      <c r="BJ72" s="295" t="s">
        <v>2393</v>
      </c>
      <c r="BK72" s="425" t="s">
        <v>2394</v>
      </c>
      <c r="BL72" s="297"/>
      <c r="BM72" s="297"/>
      <c r="BN72" s="298"/>
      <c r="BO72" s="299"/>
      <c r="BP72" s="300"/>
      <c r="BQ72" s="300"/>
      <c r="BR72" s="300" t="str">
        <f t="shared" si="13"/>
        <v>#REF!</v>
      </c>
      <c r="BS72" s="300"/>
      <c r="BT72" s="300"/>
    </row>
    <row r="73">
      <c r="A73" s="261">
        <v>9.10234225E9</v>
      </c>
      <c r="B73" s="262" t="s">
        <v>2395</v>
      </c>
      <c r="C73" s="142" t="s">
        <v>2396</v>
      </c>
      <c r="D73" s="142" t="s">
        <v>2397</v>
      </c>
      <c r="E73" s="265" t="s">
        <v>2398</v>
      </c>
      <c r="F73" s="305" t="s">
        <v>2284</v>
      </c>
      <c r="G73" s="266" t="s">
        <v>495</v>
      </c>
      <c r="H73" s="302" t="s">
        <v>2399</v>
      </c>
      <c r="I73" s="268" t="s">
        <v>2166</v>
      </c>
      <c r="J73" s="269" t="str">
        <f>VLOOKUP(I73,DADOS!B:F,5,0)</f>
        <v>ETEMILSON OLIVEIRA SANTOS - NTS149530</v>
      </c>
      <c r="K73" s="270" t="s">
        <v>608</v>
      </c>
      <c r="L73" s="262" t="s">
        <v>444</v>
      </c>
      <c r="M73" s="262" t="s">
        <v>105</v>
      </c>
      <c r="N73" s="271"/>
      <c r="O73" s="272"/>
      <c r="P73" s="335">
        <v>46007.0</v>
      </c>
      <c r="Q73" s="486">
        <v>46009.0</v>
      </c>
      <c r="R73" s="271">
        <v>46030.0</v>
      </c>
      <c r="S73" s="275" t="s">
        <v>93</v>
      </c>
      <c r="T73" s="275" t="s">
        <v>93</v>
      </c>
      <c r="U73" s="275" t="s">
        <v>93</v>
      </c>
      <c r="V73" s="255" t="s">
        <v>2400</v>
      </c>
      <c r="W73" s="333">
        <v>46054.0</v>
      </c>
      <c r="X73" s="275" t="s">
        <v>93</v>
      </c>
      <c r="Y73" s="276"/>
      <c r="Z73" s="277"/>
      <c r="AA73" s="434" t="s">
        <v>2401</v>
      </c>
      <c r="AB73" s="321" t="s">
        <v>2402</v>
      </c>
      <c r="AC73" s="262">
        <v>1.0</v>
      </c>
      <c r="AD73" s="262">
        <v>0.0</v>
      </c>
      <c r="AE73" s="262">
        <f>9+1</f>
        <v>10</v>
      </c>
      <c r="AF73" s="280">
        <v>10.0</v>
      </c>
      <c r="AG73" s="280">
        <v>10.0</v>
      </c>
      <c r="AH73" s="281">
        <f t="shared" si="5"/>
        <v>0</v>
      </c>
      <c r="AI73" s="282">
        <f t="shared" si="6"/>
        <v>1</v>
      </c>
      <c r="AJ73" s="283">
        <v>1.0</v>
      </c>
      <c r="AK73" s="271">
        <v>46037.0</v>
      </c>
      <c r="AL73" s="271">
        <v>46044.0</v>
      </c>
      <c r="AM73" s="284"/>
      <c r="AN73" s="285">
        <v>46035.0</v>
      </c>
      <c r="AO73" s="262" t="s">
        <v>2403</v>
      </c>
      <c r="AP73" s="286" t="s">
        <v>2404</v>
      </c>
      <c r="AQ73" s="118" t="s">
        <v>2405</v>
      </c>
      <c r="AR73" s="286" t="s">
        <v>2406</v>
      </c>
      <c r="AS73" s="287">
        <v>51325.15</v>
      </c>
      <c r="AT73" s="287"/>
      <c r="AU73" s="288">
        <f>VLOOKUP(I73,DADOS!B:C,2,0)</f>
        <v>2339</v>
      </c>
      <c r="AV73" s="289">
        <f t="shared" si="7"/>
        <v>24800</v>
      </c>
      <c r="AW73" s="290">
        <v>0.48</v>
      </c>
      <c r="AX73" s="290"/>
      <c r="AY73" s="265"/>
      <c r="AZ73" s="291"/>
      <c r="BA73" s="292" t="s">
        <v>254</v>
      </c>
      <c r="BB73" s="293" t="s">
        <v>2407</v>
      </c>
      <c r="BC73" s="294"/>
      <c r="BD73" s="294"/>
      <c r="BE73" s="294"/>
      <c r="BF73" s="294"/>
      <c r="BG73" s="294">
        <f t="shared" si="8"/>
        <v>0</v>
      </c>
      <c r="BH73" s="294"/>
      <c r="BI73" s="324" t="s">
        <v>2404</v>
      </c>
      <c r="BJ73" s="424" t="s">
        <v>2408</v>
      </c>
      <c r="BK73" s="317" t="s">
        <v>102</v>
      </c>
      <c r="BL73" s="129"/>
      <c r="BM73" s="129"/>
      <c r="BN73" s="36"/>
      <c r="BO73" s="130"/>
      <c r="BP73" s="32"/>
      <c r="BQ73" s="32"/>
      <c r="BR73" s="300" t="str">
        <f t="shared" si="13"/>
        <v>#REF!</v>
      </c>
      <c r="BS73" s="32"/>
      <c r="BT73" s="32"/>
    </row>
    <row r="74">
      <c r="A74" s="261">
        <v>9.10235433E9</v>
      </c>
      <c r="B74" s="262" t="s">
        <v>2409</v>
      </c>
      <c r="C74" s="355" t="s">
        <v>2410</v>
      </c>
      <c r="D74" s="264" t="s">
        <v>2411</v>
      </c>
      <c r="E74" s="265" t="s">
        <v>2412</v>
      </c>
      <c r="F74" s="305" t="s">
        <v>2284</v>
      </c>
      <c r="G74" s="266" t="s">
        <v>495</v>
      </c>
      <c r="H74" s="478" t="s">
        <v>2413</v>
      </c>
      <c r="I74" s="268" t="s">
        <v>2166</v>
      </c>
      <c r="J74" s="269" t="str">
        <f>VLOOKUP(I74,DADOS!B:F,5,0)</f>
        <v>ETEMILSON OLIVEIRA SANTOS - NTS149530</v>
      </c>
      <c r="K74" s="270" t="s">
        <v>608</v>
      </c>
      <c r="L74" s="262" t="s">
        <v>11</v>
      </c>
      <c r="M74" s="262" t="s">
        <v>105</v>
      </c>
      <c r="N74" s="271"/>
      <c r="O74" s="272"/>
      <c r="P74" s="335">
        <v>46007.0</v>
      </c>
      <c r="Q74" s="486">
        <v>46009.0</v>
      </c>
      <c r="R74" s="271">
        <v>46030.0</v>
      </c>
      <c r="S74" s="254" t="s">
        <v>2414</v>
      </c>
      <c r="T74" s="274">
        <v>46054.0</v>
      </c>
      <c r="U74" s="275" t="s">
        <v>93</v>
      </c>
      <c r="V74" s="255" t="s">
        <v>2415</v>
      </c>
      <c r="W74" s="274">
        <v>46054.0</v>
      </c>
      <c r="X74" s="275" t="s">
        <v>93</v>
      </c>
      <c r="Y74" s="276"/>
      <c r="Z74" s="277"/>
      <c r="AA74" s="278" t="s">
        <v>2416</v>
      </c>
      <c r="AB74" s="304" t="s">
        <v>2417</v>
      </c>
      <c r="AC74" s="262">
        <v>1.0</v>
      </c>
      <c r="AD74" s="263">
        <v>1.0</v>
      </c>
      <c r="AE74" s="262">
        <v>7.0</v>
      </c>
      <c r="AF74" s="280">
        <v>7.0</v>
      </c>
      <c r="AG74" s="280">
        <v>7.0</v>
      </c>
      <c r="AH74" s="281">
        <f t="shared" si="5"/>
        <v>0</v>
      </c>
      <c r="AI74" s="282">
        <f t="shared" si="6"/>
        <v>1</v>
      </c>
      <c r="AJ74" s="283">
        <v>1.0</v>
      </c>
      <c r="AK74" s="271">
        <v>46038.0</v>
      </c>
      <c r="AL74" s="271">
        <v>46044.0</v>
      </c>
      <c r="AM74" s="284"/>
      <c r="AN74" s="285">
        <v>46044.0</v>
      </c>
      <c r="AO74" s="262" t="s">
        <v>2418</v>
      </c>
      <c r="AP74" s="286" t="s">
        <v>2419</v>
      </c>
      <c r="AQ74" s="118" t="s">
        <v>2420</v>
      </c>
      <c r="AR74" s="286" t="s">
        <v>2421</v>
      </c>
      <c r="AS74" s="287">
        <v>56513.15</v>
      </c>
      <c r="AT74" s="287"/>
      <c r="AU74" s="288">
        <f>VLOOKUP(I74,DADOS!B:C,2,0)</f>
        <v>2339</v>
      </c>
      <c r="AV74" s="289">
        <f t="shared" si="7"/>
        <v>17360</v>
      </c>
      <c r="AW74" s="290">
        <v>0.375</v>
      </c>
      <c r="AX74" s="290"/>
      <c r="AY74" s="265"/>
      <c r="AZ74" s="291"/>
      <c r="BA74" s="292" t="s">
        <v>1174</v>
      </c>
      <c r="BB74" s="293" t="s">
        <v>2422</v>
      </c>
      <c r="BC74" s="294"/>
      <c r="BD74" s="294"/>
      <c r="BE74" s="294"/>
      <c r="BF74" s="294"/>
      <c r="BG74" s="294">
        <f t="shared" si="8"/>
        <v>0</v>
      </c>
      <c r="BH74" s="294"/>
      <c r="BI74" s="324" t="s">
        <v>2419</v>
      </c>
      <c r="BJ74" s="295" t="s">
        <v>2423</v>
      </c>
      <c r="BK74" s="425" t="s">
        <v>2415</v>
      </c>
      <c r="BL74" s="129"/>
      <c r="BM74" s="129"/>
      <c r="BN74" s="36"/>
      <c r="BO74" s="130" t="s">
        <v>2424</v>
      </c>
      <c r="BP74" s="32"/>
      <c r="BQ74" s="32"/>
      <c r="BR74" s="300" t="str">
        <f t="shared" si="13"/>
        <v>#REF!</v>
      </c>
      <c r="BS74" s="32"/>
      <c r="BT74" s="32"/>
    </row>
    <row r="75">
      <c r="A75" s="435">
        <v>9.101791988E9</v>
      </c>
      <c r="B75" s="262" t="s">
        <v>2425</v>
      </c>
      <c r="C75" s="487" t="s">
        <v>93</v>
      </c>
      <c r="D75" s="487" t="s">
        <v>93</v>
      </c>
      <c r="E75" s="265" t="s">
        <v>2426</v>
      </c>
      <c r="F75" s="305" t="s">
        <v>2284</v>
      </c>
      <c r="G75" s="266" t="s">
        <v>495</v>
      </c>
      <c r="H75" s="430" t="s">
        <v>1592</v>
      </c>
      <c r="I75" s="268" t="s">
        <v>2166</v>
      </c>
      <c r="J75" s="269" t="str">
        <f>VLOOKUP(I75,DADOS!B:F,5,0)</f>
        <v>ETEMILSON OLIVEIRA SANTOS - NTS149530</v>
      </c>
      <c r="K75" s="270" t="s">
        <v>131</v>
      </c>
      <c r="L75" s="262" t="s">
        <v>1285</v>
      </c>
      <c r="M75" s="262" t="s">
        <v>91</v>
      </c>
      <c r="N75" s="271">
        <v>45980.0</v>
      </c>
      <c r="O75" s="476" t="s">
        <v>1622</v>
      </c>
      <c r="P75" s="252">
        <v>45980.0</v>
      </c>
      <c r="Q75" s="273">
        <v>45981.0</v>
      </c>
      <c r="R75" s="271">
        <v>45986.0</v>
      </c>
      <c r="S75" s="254" t="s">
        <v>2427</v>
      </c>
      <c r="T75" s="274"/>
      <c r="U75" s="275" t="s">
        <v>93</v>
      </c>
      <c r="V75" s="259" t="s">
        <v>2428</v>
      </c>
      <c r="W75" s="274">
        <v>46059.0</v>
      </c>
      <c r="X75" s="275" t="s">
        <v>93</v>
      </c>
      <c r="Y75" s="276"/>
      <c r="Z75" s="277"/>
      <c r="AA75" s="434" t="s">
        <v>2429</v>
      </c>
      <c r="AB75" s="304" t="s">
        <v>2430</v>
      </c>
      <c r="AC75" s="262">
        <v>2.0</v>
      </c>
      <c r="AD75" s="262">
        <v>0.0</v>
      </c>
      <c r="AE75" s="262">
        <v>18.0</v>
      </c>
      <c r="AF75" s="262">
        <f>5+11+2</f>
        <v>18</v>
      </c>
      <c r="AG75" s="280">
        <f>11+7</f>
        <v>18</v>
      </c>
      <c r="AH75" s="281">
        <f t="shared" si="5"/>
        <v>0</v>
      </c>
      <c r="AI75" s="282">
        <f t="shared" si="6"/>
        <v>1</v>
      </c>
      <c r="AJ75" s="283">
        <v>1.0</v>
      </c>
      <c r="AK75" s="271">
        <v>45994.0</v>
      </c>
      <c r="AL75" s="271">
        <v>46029.0</v>
      </c>
      <c r="AM75" s="284"/>
      <c r="AN75" s="285">
        <v>46030.0</v>
      </c>
      <c r="AO75" s="262" t="s">
        <v>2431</v>
      </c>
      <c r="AP75" s="294" t="s">
        <v>2432</v>
      </c>
      <c r="AQ75" s="118" t="s">
        <v>2433</v>
      </c>
      <c r="AR75" s="286" t="s">
        <v>2434</v>
      </c>
      <c r="AS75" s="287">
        <v>119339.0</v>
      </c>
      <c r="AT75" s="287"/>
      <c r="AU75" s="288">
        <f>VLOOKUP(I75,DADOS!B:C,2,0)</f>
        <v>2339</v>
      </c>
      <c r="AV75" s="289">
        <f t="shared" si="7"/>
        <v>44640</v>
      </c>
      <c r="AW75" s="290">
        <v>0.29</v>
      </c>
      <c r="AX75" s="290"/>
      <c r="AY75" s="265"/>
      <c r="AZ75" s="291"/>
      <c r="BA75" s="292" t="s">
        <v>254</v>
      </c>
      <c r="BB75" s="293" t="s">
        <v>2435</v>
      </c>
      <c r="BC75" s="294"/>
      <c r="BD75" s="294"/>
      <c r="BE75" s="294"/>
      <c r="BF75" s="294"/>
      <c r="BG75" s="294">
        <f t="shared" si="8"/>
        <v>0</v>
      </c>
      <c r="BH75" s="294"/>
      <c r="BI75" s="294" t="s">
        <v>2436</v>
      </c>
      <c r="BJ75" s="295" t="s">
        <v>2437</v>
      </c>
      <c r="BK75" s="434" t="s">
        <v>429</v>
      </c>
      <c r="BL75" s="297"/>
      <c r="BM75" s="297"/>
      <c r="BN75" s="298"/>
      <c r="BO75" s="299"/>
      <c r="BP75" s="300"/>
      <c r="BQ75" s="300"/>
      <c r="BR75" s="300" t="str">
        <f t="shared" si="13"/>
        <v>#REF!</v>
      </c>
      <c r="BS75" s="300"/>
      <c r="BT75" s="300"/>
    </row>
    <row r="76">
      <c r="A76" s="435">
        <v>9.101867466E9</v>
      </c>
      <c r="B76" s="262" t="s">
        <v>2438</v>
      </c>
      <c r="C76" s="142" t="s">
        <v>2439</v>
      </c>
      <c r="D76" s="142" t="s">
        <v>2440</v>
      </c>
      <c r="E76" s="265" t="s">
        <v>2441</v>
      </c>
      <c r="F76" s="305" t="s">
        <v>2284</v>
      </c>
      <c r="G76" s="266" t="s">
        <v>495</v>
      </c>
      <c r="H76" s="430" t="s">
        <v>1592</v>
      </c>
      <c r="I76" s="268" t="s">
        <v>2166</v>
      </c>
      <c r="J76" s="269" t="str">
        <f>VLOOKUP(I76,DADOS!B:F,5,0)</f>
        <v>ETEMILSON OLIVEIRA SANTOS - NTS149530</v>
      </c>
      <c r="K76" s="270" t="s">
        <v>1891</v>
      </c>
      <c r="L76" s="262" t="s">
        <v>1285</v>
      </c>
      <c r="M76" s="262" t="s">
        <v>91</v>
      </c>
      <c r="N76" s="271">
        <v>45981.0</v>
      </c>
      <c r="O76" s="272" t="s">
        <v>2442</v>
      </c>
      <c r="P76" s="252">
        <v>45981.0</v>
      </c>
      <c r="Q76" s="341">
        <v>45981.0</v>
      </c>
      <c r="R76" s="271">
        <v>45996.0</v>
      </c>
      <c r="S76" s="254" t="s">
        <v>2443</v>
      </c>
      <c r="T76" s="274"/>
      <c r="U76" s="275" t="s">
        <v>93</v>
      </c>
      <c r="V76" s="259" t="s">
        <v>2444</v>
      </c>
      <c r="W76" s="274">
        <v>46059.0</v>
      </c>
      <c r="X76" s="275" t="s">
        <v>93</v>
      </c>
      <c r="Y76" s="276"/>
      <c r="Z76" s="277"/>
      <c r="AA76" s="434" t="s">
        <v>2445</v>
      </c>
      <c r="AB76" s="279" t="s">
        <v>2446</v>
      </c>
      <c r="AC76" s="262">
        <v>1.0</v>
      </c>
      <c r="AD76" s="262">
        <v>0.0</v>
      </c>
      <c r="AE76" s="262">
        <f>13+1</f>
        <v>14</v>
      </c>
      <c r="AF76" s="262">
        <v>14.0</v>
      </c>
      <c r="AG76" s="280">
        <f>13+1</f>
        <v>14</v>
      </c>
      <c r="AH76" s="281">
        <f t="shared" si="5"/>
        <v>0</v>
      </c>
      <c r="AI76" s="282">
        <f t="shared" si="6"/>
        <v>1</v>
      </c>
      <c r="AJ76" s="283">
        <v>1.0</v>
      </c>
      <c r="AK76" s="271">
        <v>46007.0</v>
      </c>
      <c r="AL76" s="271">
        <v>46030.0</v>
      </c>
      <c r="AM76" s="284"/>
      <c r="AN76" s="285">
        <v>46031.0</v>
      </c>
      <c r="AO76" s="262" t="s">
        <v>2447</v>
      </c>
      <c r="AP76" s="294" t="s">
        <v>2448</v>
      </c>
      <c r="AQ76" s="118" t="s">
        <v>2449</v>
      </c>
      <c r="AR76" s="286" t="s">
        <v>2450</v>
      </c>
      <c r="AS76" s="287">
        <v>165602.33</v>
      </c>
      <c r="AT76" s="287"/>
      <c r="AU76" s="288">
        <f>VLOOKUP(I76,DADOS!B:C,2,0)</f>
        <v>2339</v>
      </c>
      <c r="AV76" s="289">
        <f t="shared" si="7"/>
        <v>34720</v>
      </c>
      <c r="AW76" s="290" t="s">
        <v>93</v>
      </c>
      <c r="AX76" s="290" t="s">
        <v>93</v>
      </c>
      <c r="AY76" s="265"/>
      <c r="AZ76" s="291"/>
      <c r="BA76" s="292" t="s">
        <v>1174</v>
      </c>
      <c r="BB76" s="293" t="s">
        <v>2422</v>
      </c>
      <c r="BC76" s="294"/>
      <c r="BD76" s="294"/>
      <c r="BE76" s="294"/>
      <c r="BF76" s="294"/>
      <c r="BG76" s="294">
        <f t="shared" si="8"/>
        <v>0</v>
      </c>
      <c r="BH76" s="294"/>
      <c r="BI76" s="294" t="s">
        <v>2448</v>
      </c>
      <c r="BJ76" s="295" t="s">
        <v>2451</v>
      </c>
      <c r="BK76" s="432" t="s">
        <v>429</v>
      </c>
      <c r="BL76" s="297"/>
      <c r="BM76" s="297"/>
      <c r="BN76" s="298"/>
      <c r="BO76" s="299"/>
      <c r="BP76" s="300"/>
      <c r="BQ76" s="300"/>
      <c r="BR76" s="300" t="str">
        <f t="shared" si="13"/>
        <v>#REF!</v>
      </c>
      <c r="BS76" s="300"/>
      <c r="BT76" s="300"/>
    </row>
    <row r="77">
      <c r="A77" s="435">
        <v>9.102330908E9</v>
      </c>
      <c r="B77" s="262" t="s">
        <v>2452</v>
      </c>
      <c r="C77" s="264" t="s">
        <v>93</v>
      </c>
      <c r="D77" s="264" t="s">
        <v>93</v>
      </c>
      <c r="E77" s="265" t="s">
        <v>2453</v>
      </c>
      <c r="F77" s="305" t="s">
        <v>2284</v>
      </c>
      <c r="G77" s="266" t="s">
        <v>495</v>
      </c>
      <c r="H77" s="430" t="s">
        <v>1592</v>
      </c>
      <c r="I77" s="268" t="s">
        <v>2166</v>
      </c>
      <c r="J77" s="269" t="str">
        <f>VLOOKUP(I77,DADOS!B:F,5,0)</f>
        <v>ETEMILSON OLIVEIRA SANTOS - NTS149530</v>
      </c>
      <c r="K77" s="270" t="s">
        <v>131</v>
      </c>
      <c r="L77" s="262" t="s">
        <v>4</v>
      </c>
      <c r="M77" s="262" t="s">
        <v>105</v>
      </c>
      <c r="N77" s="262" t="s">
        <v>1609</v>
      </c>
      <c r="O77" s="272"/>
      <c r="P77" s="252">
        <v>45992.0</v>
      </c>
      <c r="Q77" s="341">
        <v>45992.0</v>
      </c>
      <c r="R77" s="271">
        <v>45996.0</v>
      </c>
      <c r="S77" s="254" t="s">
        <v>2454</v>
      </c>
      <c r="T77" s="274"/>
      <c r="U77" s="275" t="s">
        <v>93</v>
      </c>
      <c r="V77" s="259" t="s">
        <v>2455</v>
      </c>
      <c r="W77" s="274">
        <v>46059.0</v>
      </c>
      <c r="X77" s="275" t="s">
        <v>93</v>
      </c>
      <c r="Y77" s="276"/>
      <c r="Z77" s="277"/>
      <c r="AA77" s="278"/>
      <c r="AB77" s="304" t="s">
        <v>2456</v>
      </c>
      <c r="AC77" s="262">
        <v>1.0</v>
      </c>
      <c r="AD77" s="436">
        <v>0.0</v>
      </c>
      <c r="AE77" s="262">
        <v>4.0</v>
      </c>
      <c r="AF77" s="262">
        <v>4.0</v>
      </c>
      <c r="AG77" s="280">
        <v>4.0</v>
      </c>
      <c r="AH77" s="281">
        <f t="shared" si="5"/>
        <v>0</v>
      </c>
      <c r="AI77" s="282">
        <f t="shared" si="6"/>
        <v>1</v>
      </c>
      <c r="AJ77" s="283">
        <v>1.0</v>
      </c>
      <c r="AK77" s="271">
        <v>46011.0</v>
      </c>
      <c r="AL77" s="271">
        <v>46030.0</v>
      </c>
      <c r="AM77" s="284"/>
      <c r="AN77" s="285">
        <v>46030.0</v>
      </c>
      <c r="AO77" s="262" t="s">
        <v>2457</v>
      </c>
      <c r="AP77" s="294" t="s">
        <v>2458</v>
      </c>
      <c r="AQ77" s="118" t="s">
        <v>2459</v>
      </c>
      <c r="AR77" s="286" t="s">
        <v>2460</v>
      </c>
      <c r="AS77" s="287">
        <v>37862.04</v>
      </c>
      <c r="AT77" s="287"/>
      <c r="AU77" s="288">
        <f>VLOOKUP(I77,DADOS!B:C,2,0)</f>
        <v>2339</v>
      </c>
      <c r="AV77" s="289">
        <f t="shared" si="7"/>
        <v>9920</v>
      </c>
      <c r="AW77" s="290">
        <v>0.165</v>
      </c>
      <c r="AX77" s="290"/>
      <c r="AY77" s="265"/>
      <c r="AZ77" s="291"/>
      <c r="BA77" s="292" t="s">
        <v>1174</v>
      </c>
      <c r="BB77" s="293" t="s">
        <v>2461</v>
      </c>
      <c r="BC77" s="294"/>
      <c r="BD77" s="294"/>
      <c r="BE77" s="294"/>
      <c r="BF77" s="294"/>
      <c r="BG77" s="294">
        <f t="shared" si="8"/>
        <v>0</v>
      </c>
      <c r="BH77" s="294"/>
      <c r="BI77" s="294" t="s">
        <v>2462</v>
      </c>
      <c r="BJ77" s="295" t="s">
        <v>2463</v>
      </c>
      <c r="BK77" s="432" t="s">
        <v>429</v>
      </c>
      <c r="BL77" s="297"/>
      <c r="BM77" s="297"/>
      <c r="BN77" s="298"/>
      <c r="BO77" s="299"/>
      <c r="BP77" s="300"/>
      <c r="BQ77" s="300"/>
      <c r="BR77" s="300" t="str">
        <f t="shared" si="13"/>
        <v>#REF!</v>
      </c>
      <c r="BS77" s="300"/>
      <c r="BT77" s="300"/>
    </row>
    <row r="78">
      <c r="A78" s="437">
        <v>9.101791881E9</v>
      </c>
      <c r="B78" s="262" t="s">
        <v>2464</v>
      </c>
      <c r="C78" s="355" t="s">
        <v>2465</v>
      </c>
      <c r="D78" s="264" t="s">
        <v>2466</v>
      </c>
      <c r="E78" s="265" t="s">
        <v>2467</v>
      </c>
      <c r="F78" s="305" t="s">
        <v>861</v>
      </c>
      <c r="G78" s="266" t="s">
        <v>495</v>
      </c>
      <c r="H78" s="302"/>
      <c r="I78" s="268" t="s">
        <v>459</v>
      </c>
      <c r="J78" s="269" t="str">
        <f>VLOOKUP(I78,DADOS!B:F,5,0)</f>
        <v>GILVANDO RIOS DA CRUZ - NTS025538</v>
      </c>
      <c r="K78" s="270" t="s">
        <v>413</v>
      </c>
      <c r="L78" s="262" t="s">
        <v>11</v>
      </c>
      <c r="M78" s="262" t="s">
        <v>164</v>
      </c>
      <c r="N78" s="271"/>
      <c r="O78" s="272"/>
      <c r="P78" s="252">
        <v>46028.0</v>
      </c>
      <c r="Q78" s="488">
        <v>46028.0</v>
      </c>
      <c r="R78" s="271">
        <v>46038.0</v>
      </c>
      <c r="S78" s="254" t="s">
        <v>2468</v>
      </c>
      <c r="T78" s="274">
        <v>46054.0</v>
      </c>
      <c r="U78" s="254" t="s">
        <v>2469</v>
      </c>
      <c r="V78" s="255" t="str">
        <f>S78</f>
        <v>2025-162778</v>
      </c>
      <c r="W78" s="274">
        <v>46054.0</v>
      </c>
      <c r="X78" s="275" t="s">
        <v>93</v>
      </c>
      <c r="Y78" s="276"/>
      <c r="Z78" s="277"/>
      <c r="AA78" s="278" t="s">
        <v>2470</v>
      </c>
      <c r="AB78" s="304" t="s">
        <v>2471</v>
      </c>
      <c r="AC78" s="262">
        <v>1.0</v>
      </c>
      <c r="AD78" s="263">
        <v>1.0</v>
      </c>
      <c r="AE78" s="262">
        <v>12.0</v>
      </c>
      <c r="AF78" s="280">
        <v>12.0</v>
      </c>
      <c r="AG78" s="280">
        <v>12.0</v>
      </c>
      <c r="AH78" s="281">
        <f t="shared" si="5"/>
        <v>0</v>
      </c>
      <c r="AI78" s="282">
        <f t="shared" si="6"/>
        <v>1</v>
      </c>
      <c r="AJ78" s="283">
        <v>0.5</v>
      </c>
      <c r="AK78" s="271">
        <v>46030.0</v>
      </c>
      <c r="AL78" s="271">
        <v>46044.0</v>
      </c>
      <c r="AM78" s="284"/>
      <c r="AN78" s="285">
        <v>46052.0</v>
      </c>
      <c r="AO78" s="262" t="s">
        <v>2472</v>
      </c>
      <c r="AP78" s="286" t="s">
        <v>2473</v>
      </c>
      <c r="AQ78" s="118" t="s">
        <v>2474</v>
      </c>
      <c r="AR78" s="286" t="s">
        <v>2475</v>
      </c>
      <c r="AS78" s="287">
        <v>99042.0</v>
      </c>
      <c r="AT78" s="287"/>
      <c r="AU78" s="288">
        <f>VLOOKUP(I78,DADOS!B:C,2,0)</f>
        <v>2326</v>
      </c>
      <c r="AV78" s="289">
        <f t="shared" si="7"/>
        <v>29760</v>
      </c>
      <c r="AW78" s="290"/>
      <c r="AX78" s="290"/>
      <c r="AY78" s="265"/>
      <c r="AZ78" s="291"/>
      <c r="BA78" s="292" t="s">
        <v>690</v>
      </c>
      <c r="BB78" s="293" t="s">
        <v>2476</v>
      </c>
      <c r="BC78" s="294"/>
      <c r="BD78" s="294"/>
      <c r="BE78" s="294"/>
      <c r="BF78" s="294"/>
      <c r="BG78" s="294">
        <f t="shared" si="8"/>
        <v>0</v>
      </c>
      <c r="BH78" s="294"/>
      <c r="BI78" s="324" t="s">
        <v>2473</v>
      </c>
      <c r="BJ78" s="295" t="s">
        <v>2477</v>
      </c>
      <c r="BK78" s="482" t="s">
        <v>102</v>
      </c>
      <c r="BL78" s="297"/>
      <c r="BM78" s="297"/>
      <c r="BN78" s="298"/>
      <c r="BO78" s="299" t="s">
        <v>2478</v>
      </c>
      <c r="BP78" s="300"/>
      <c r="BQ78" s="300"/>
      <c r="BR78" s="300" t="str">
        <f t="shared" si="13"/>
        <v>#REF!</v>
      </c>
      <c r="BS78" s="300"/>
      <c r="BT78" s="300"/>
    </row>
    <row r="79">
      <c r="A79" s="261">
        <v>9.10204733E9</v>
      </c>
      <c r="B79" s="262" t="s">
        <v>2479</v>
      </c>
      <c r="C79" s="142" t="s">
        <v>2480</v>
      </c>
      <c r="D79" s="142" t="s">
        <v>2481</v>
      </c>
      <c r="E79" s="265" t="s">
        <v>2482</v>
      </c>
      <c r="F79" s="305" t="s">
        <v>861</v>
      </c>
      <c r="G79" s="266" t="s">
        <v>495</v>
      </c>
      <c r="H79" s="302"/>
      <c r="I79" s="268" t="s">
        <v>459</v>
      </c>
      <c r="J79" s="269" t="str">
        <f>VLOOKUP(I79,DADOS!B:F,5,0)</f>
        <v>GILVANDO RIOS DA CRUZ - NTS025538</v>
      </c>
      <c r="K79" s="270" t="s">
        <v>413</v>
      </c>
      <c r="L79" s="262" t="s">
        <v>444</v>
      </c>
      <c r="M79" s="262" t="s">
        <v>559</v>
      </c>
      <c r="N79" s="271"/>
      <c r="O79" s="272"/>
      <c r="P79" s="335">
        <v>46007.0</v>
      </c>
      <c r="Q79" s="486">
        <v>46009.0</v>
      </c>
      <c r="R79" s="271">
        <v>46029.0</v>
      </c>
      <c r="S79" s="275" t="s">
        <v>93</v>
      </c>
      <c r="T79" s="275" t="s">
        <v>93</v>
      </c>
      <c r="U79" s="275" t="s">
        <v>93</v>
      </c>
      <c r="V79" s="255" t="s">
        <v>2483</v>
      </c>
      <c r="W79" s="333">
        <v>46054.0</v>
      </c>
      <c r="X79" s="275" t="s">
        <v>93</v>
      </c>
      <c r="Y79" s="276"/>
      <c r="Z79" s="277"/>
      <c r="AA79" s="278"/>
      <c r="AB79" s="304" t="s">
        <v>93</v>
      </c>
      <c r="AC79" s="262">
        <v>1.0</v>
      </c>
      <c r="AD79" s="262">
        <v>0.0</v>
      </c>
      <c r="AE79" s="262">
        <f>2-2</f>
        <v>0</v>
      </c>
      <c r="AF79" s="280">
        <v>0.0</v>
      </c>
      <c r="AG79" s="280">
        <v>0.0</v>
      </c>
      <c r="AH79" s="281">
        <f t="shared" si="5"/>
        <v>0</v>
      </c>
      <c r="AI79" s="282">
        <f t="shared" si="6"/>
        <v>0</v>
      </c>
      <c r="AJ79" s="283">
        <v>1.0</v>
      </c>
      <c r="AK79" s="271">
        <v>46041.0</v>
      </c>
      <c r="AL79" s="271">
        <v>46041.0</v>
      </c>
      <c r="AM79" s="284"/>
      <c r="AN79" s="285">
        <v>46037.0</v>
      </c>
      <c r="AO79" s="262" t="s">
        <v>2484</v>
      </c>
      <c r="AP79" s="286" t="s">
        <v>2485</v>
      </c>
      <c r="AQ79" s="118" t="s">
        <v>2486</v>
      </c>
      <c r="AR79" s="286" t="s">
        <v>2487</v>
      </c>
      <c r="AS79" s="287">
        <v>34658.55</v>
      </c>
      <c r="AT79" s="287"/>
      <c r="AU79" s="288">
        <f>VLOOKUP(I79,DADOS!B:C,2,0)</f>
        <v>2326</v>
      </c>
      <c r="AV79" s="289">
        <f t="shared" si="7"/>
        <v>0</v>
      </c>
      <c r="AW79" s="290">
        <v>0.25</v>
      </c>
      <c r="AX79" s="290"/>
      <c r="AY79" s="265"/>
      <c r="AZ79" s="291"/>
      <c r="BA79" s="292" t="s">
        <v>690</v>
      </c>
      <c r="BB79" s="293" t="s">
        <v>2488</v>
      </c>
      <c r="BC79" s="294"/>
      <c r="BD79" s="294"/>
      <c r="BE79" s="294"/>
      <c r="BF79" s="294"/>
      <c r="BG79" s="294">
        <f t="shared" si="8"/>
        <v>0</v>
      </c>
      <c r="BH79" s="294"/>
      <c r="BI79" s="324" t="s">
        <v>2485</v>
      </c>
      <c r="BJ79" s="424" t="s">
        <v>2489</v>
      </c>
      <c r="BK79" s="482" t="s">
        <v>102</v>
      </c>
      <c r="BL79" s="129"/>
      <c r="BM79" s="129"/>
      <c r="BN79" s="36"/>
      <c r="BO79" s="130"/>
      <c r="BP79" s="32"/>
      <c r="BQ79" s="32"/>
      <c r="BR79" s="300" t="str">
        <f t="shared" si="13"/>
        <v>#REF!</v>
      </c>
      <c r="BS79" s="300"/>
      <c r="BT79" s="300"/>
    </row>
    <row r="80">
      <c r="A80" s="261">
        <v>9.102353144E9</v>
      </c>
      <c r="B80" s="262" t="s">
        <v>2490</v>
      </c>
      <c r="C80" s="264" t="s">
        <v>93</v>
      </c>
      <c r="D80" s="264" t="s">
        <v>93</v>
      </c>
      <c r="E80" s="265" t="s">
        <v>2491</v>
      </c>
      <c r="F80" s="305" t="s">
        <v>861</v>
      </c>
      <c r="G80" s="266" t="s">
        <v>495</v>
      </c>
      <c r="H80" s="302"/>
      <c r="I80" s="268" t="s">
        <v>459</v>
      </c>
      <c r="J80" s="269" t="str">
        <f>VLOOKUP(I80,DADOS!B:F,5,0)</f>
        <v>GILVANDO RIOS DA CRUZ - NTS025538</v>
      </c>
      <c r="K80" s="270" t="s">
        <v>413</v>
      </c>
      <c r="L80" s="303" t="s">
        <v>4</v>
      </c>
      <c r="M80" s="262" t="s">
        <v>105</v>
      </c>
      <c r="N80" s="271"/>
      <c r="O80" s="272"/>
      <c r="P80" s="335">
        <v>46007.0</v>
      </c>
      <c r="Q80" s="486">
        <v>46009.0</v>
      </c>
      <c r="R80" s="271">
        <v>46029.0</v>
      </c>
      <c r="S80" s="275" t="s">
        <v>93</v>
      </c>
      <c r="T80" s="275" t="s">
        <v>93</v>
      </c>
      <c r="U80" s="275" t="s">
        <v>93</v>
      </c>
      <c r="V80" s="255" t="s">
        <v>2492</v>
      </c>
      <c r="W80" s="333">
        <v>46054.0</v>
      </c>
      <c r="X80" s="275" t="s">
        <v>93</v>
      </c>
      <c r="Y80" s="276"/>
      <c r="Z80" s="277"/>
      <c r="AA80" s="278"/>
      <c r="AB80" s="304" t="s">
        <v>2493</v>
      </c>
      <c r="AC80" s="262">
        <v>1.0</v>
      </c>
      <c r="AD80" s="262">
        <v>0.0</v>
      </c>
      <c r="AE80" s="262">
        <v>1.0</v>
      </c>
      <c r="AF80" s="280">
        <v>1.0</v>
      </c>
      <c r="AG80" s="280">
        <v>1.0</v>
      </c>
      <c r="AH80" s="281">
        <f t="shared" si="5"/>
        <v>0</v>
      </c>
      <c r="AI80" s="282">
        <f t="shared" si="6"/>
        <v>1</v>
      </c>
      <c r="AJ80" s="283">
        <v>1.0</v>
      </c>
      <c r="AK80" s="271">
        <v>46031.0</v>
      </c>
      <c r="AL80" s="271">
        <v>46036.0</v>
      </c>
      <c r="AM80" s="284"/>
      <c r="AN80" s="285">
        <v>46036.0</v>
      </c>
      <c r="AO80" s="262" t="s">
        <v>2494</v>
      </c>
      <c r="AP80" s="286" t="s">
        <v>2495</v>
      </c>
      <c r="AQ80" s="118" t="s">
        <v>2496</v>
      </c>
      <c r="AR80" s="286" t="s">
        <v>2497</v>
      </c>
      <c r="AS80" s="287">
        <v>7322.84</v>
      </c>
      <c r="AT80" s="287"/>
      <c r="AU80" s="288">
        <f>VLOOKUP(I80,DADOS!B:C,2,0)</f>
        <v>2326</v>
      </c>
      <c r="AV80" s="289">
        <f t="shared" si="7"/>
        <v>2480</v>
      </c>
      <c r="AW80" s="290">
        <v>0.06</v>
      </c>
      <c r="AX80" s="290"/>
      <c r="AY80" s="265"/>
      <c r="AZ80" s="291"/>
      <c r="BA80" s="292" t="s">
        <v>2498</v>
      </c>
      <c r="BB80" s="293" t="s">
        <v>2499</v>
      </c>
      <c r="BC80" s="294"/>
      <c r="BD80" s="294"/>
      <c r="BE80" s="294"/>
      <c r="BF80" s="294"/>
      <c r="BG80" s="294">
        <f t="shared" si="8"/>
        <v>0</v>
      </c>
      <c r="BH80" s="294"/>
      <c r="BI80" s="324" t="s">
        <v>2495</v>
      </c>
      <c r="BJ80" s="424" t="s">
        <v>2500</v>
      </c>
      <c r="BK80" s="482" t="s">
        <v>102</v>
      </c>
      <c r="BL80" s="297"/>
      <c r="BM80" s="297"/>
      <c r="BN80" s="298"/>
      <c r="BO80" s="299"/>
      <c r="BP80" s="300"/>
      <c r="BQ80" s="300"/>
      <c r="BR80" s="300" t="str">
        <f t="shared" si="13"/>
        <v>#REF!</v>
      </c>
      <c r="BS80" s="300"/>
      <c r="BT80" s="300"/>
    </row>
    <row r="81">
      <c r="A81" s="140">
        <v>9.102005211E9</v>
      </c>
      <c r="B81" s="141" t="s">
        <v>1384</v>
      </c>
      <c r="C81" s="142" t="s">
        <v>1385</v>
      </c>
      <c r="D81" s="142" t="s">
        <v>1386</v>
      </c>
      <c r="E81" s="172" t="s">
        <v>1387</v>
      </c>
      <c r="F81" s="144" t="s">
        <v>861</v>
      </c>
      <c r="G81" s="145" t="s">
        <v>124</v>
      </c>
      <c r="H81" s="146" t="s">
        <v>2031</v>
      </c>
      <c r="I81" s="147" t="s">
        <v>459</v>
      </c>
      <c r="J81" s="148" t="str">
        <f>VLOOKUP(I81,DADOS!B:F,5,0)</f>
        <v>GILVANDO RIOS DA CRUZ - NTS025538</v>
      </c>
      <c r="K81" s="149" t="s">
        <v>413</v>
      </c>
      <c r="L81" s="141" t="s">
        <v>11</v>
      </c>
      <c r="M81" s="141" t="s">
        <v>559</v>
      </c>
      <c r="N81" s="150"/>
      <c r="O81" s="151"/>
      <c r="P81" s="467">
        <v>46007.0</v>
      </c>
      <c r="Q81" s="489">
        <v>46009.0</v>
      </c>
      <c r="R81" s="150">
        <v>46029.0</v>
      </c>
      <c r="S81" s="153" t="s">
        <v>2501</v>
      </c>
      <c r="T81" s="154">
        <v>46054.0</v>
      </c>
      <c r="U81" s="153" t="s">
        <v>93</v>
      </c>
      <c r="V81" s="155"/>
      <c r="W81" s="156"/>
      <c r="X81" s="153"/>
      <c r="Y81" s="157"/>
      <c r="Z81" s="158"/>
      <c r="AA81" s="159"/>
      <c r="AB81" s="160" t="s">
        <v>2502</v>
      </c>
      <c r="AC81" s="141">
        <v>1.0</v>
      </c>
      <c r="AD81" s="141">
        <v>0.0</v>
      </c>
      <c r="AE81" s="141">
        <v>4.0</v>
      </c>
      <c r="AF81" s="161"/>
      <c r="AG81" s="161"/>
      <c r="AH81" s="162">
        <f t="shared" si="5"/>
        <v>4</v>
      </c>
      <c r="AI81" s="163">
        <f t="shared" si="6"/>
        <v>0</v>
      </c>
      <c r="AJ81" s="189"/>
      <c r="AK81" s="150">
        <v>46029.0</v>
      </c>
      <c r="AL81" s="150">
        <v>46038.0</v>
      </c>
      <c r="AM81" s="164"/>
      <c r="AN81" s="428">
        <v>46052.0</v>
      </c>
      <c r="AO81" s="141"/>
      <c r="AP81" s="166" t="s">
        <v>2503</v>
      </c>
      <c r="AQ81" s="191" t="s">
        <v>1392</v>
      </c>
      <c r="AR81" s="490" t="s">
        <v>1393</v>
      </c>
      <c r="AS81" s="168">
        <v>50812.01</v>
      </c>
      <c r="AT81" s="168"/>
      <c r="AU81" s="169">
        <f>VLOOKUP(I81,DADOS!B:C,2,0)</f>
        <v>2326</v>
      </c>
      <c r="AV81" s="170">
        <f t="shared" si="7"/>
        <v>9920</v>
      </c>
      <c r="AW81" s="171" t="s">
        <v>93</v>
      </c>
      <c r="AX81" s="171" t="s">
        <v>93</v>
      </c>
      <c r="AY81" s="172"/>
      <c r="AZ81" s="173"/>
      <c r="BA81" s="174" t="s">
        <v>2504</v>
      </c>
      <c r="BB81" s="175" t="s">
        <v>1112</v>
      </c>
      <c r="BC81" s="176"/>
      <c r="BD81" s="176"/>
      <c r="BE81" s="176"/>
      <c r="BF81" s="176"/>
      <c r="BG81" s="176">
        <f t="shared" si="8"/>
        <v>0</v>
      </c>
      <c r="BH81" s="176"/>
      <c r="BI81" s="343" t="s">
        <v>2503</v>
      </c>
      <c r="BJ81" s="178" t="s">
        <v>1394</v>
      </c>
      <c r="BK81" s="491" t="s">
        <v>102</v>
      </c>
      <c r="BL81" s="297"/>
      <c r="BM81" s="297"/>
      <c r="BN81" s="298"/>
      <c r="BO81" s="299"/>
      <c r="BP81" s="300"/>
      <c r="BQ81" s="300"/>
      <c r="BR81" s="300" t="str">
        <f t="shared" si="13"/>
        <v>#REF!</v>
      </c>
      <c r="BS81" s="300"/>
      <c r="BT81" s="300"/>
    </row>
    <row r="82">
      <c r="A82" s="261">
        <v>9.102138863E9</v>
      </c>
      <c r="B82" s="262" t="s">
        <v>2505</v>
      </c>
      <c r="C82" s="142" t="s">
        <v>2506</v>
      </c>
      <c r="D82" s="142" t="s">
        <v>2507</v>
      </c>
      <c r="E82" s="265" t="s">
        <v>2508</v>
      </c>
      <c r="F82" s="305" t="s">
        <v>861</v>
      </c>
      <c r="G82" s="266" t="s">
        <v>495</v>
      </c>
      <c r="H82" s="302"/>
      <c r="I82" s="268" t="s">
        <v>459</v>
      </c>
      <c r="J82" s="269" t="str">
        <f>VLOOKUP(I82,DADOS!B:F,5,0)</f>
        <v>GILVANDO RIOS DA CRUZ - NTS025538</v>
      </c>
      <c r="K82" s="270" t="s">
        <v>413</v>
      </c>
      <c r="L82" s="262" t="s">
        <v>1285</v>
      </c>
      <c r="M82" s="262" t="s">
        <v>559</v>
      </c>
      <c r="N82" s="271"/>
      <c r="O82" s="272"/>
      <c r="P82" s="335">
        <v>46007.0</v>
      </c>
      <c r="Q82" s="486">
        <v>46009.0</v>
      </c>
      <c r="R82" s="271">
        <v>46029.0</v>
      </c>
      <c r="S82" s="275" t="s">
        <v>93</v>
      </c>
      <c r="T82" s="275" t="s">
        <v>93</v>
      </c>
      <c r="U82" s="275" t="s">
        <v>93</v>
      </c>
      <c r="V82" s="255" t="s">
        <v>2509</v>
      </c>
      <c r="W82" s="333">
        <v>46054.0</v>
      </c>
      <c r="X82" s="275" t="s">
        <v>93</v>
      </c>
      <c r="Y82" s="276"/>
      <c r="Z82" s="277"/>
      <c r="AA82" s="278"/>
      <c r="AB82" s="304" t="s">
        <v>2510</v>
      </c>
      <c r="AC82" s="262">
        <v>1.0</v>
      </c>
      <c r="AD82" s="262">
        <v>0.0</v>
      </c>
      <c r="AE82" s="262">
        <v>1.0</v>
      </c>
      <c r="AF82" s="280">
        <v>1.0</v>
      </c>
      <c r="AG82" s="280">
        <v>1.0</v>
      </c>
      <c r="AH82" s="281">
        <f t="shared" si="5"/>
        <v>0</v>
      </c>
      <c r="AI82" s="282">
        <f t="shared" si="6"/>
        <v>1</v>
      </c>
      <c r="AJ82" s="283">
        <v>1.0</v>
      </c>
      <c r="AK82" s="271">
        <v>46029.0</v>
      </c>
      <c r="AL82" s="271">
        <v>46031.0</v>
      </c>
      <c r="AM82" s="284"/>
      <c r="AN82" s="285">
        <v>46031.0</v>
      </c>
      <c r="AO82" s="262" t="s">
        <v>2511</v>
      </c>
      <c r="AP82" s="286" t="s">
        <v>2512</v>
      </c>
      <c r="AQ82" s="492" t="s">
        <v>2513</v>
      </c>
      <c r="AR82" s="286" t="s">
        <v>2514</v>
      </c>
      <c r="AS82" s="287">
        <v>6995.24</v>
      </c>
      <c r="AT82" s="287"/>
      <c r="AU82" s="288">
        <f>VLOOKUP(I82,DADOS!B:C,2,0)</f>
        <v>2326</v>
      </c>
      <c r="AV82" s="289">
        <f t="shared" si="7"/>
        <v>2480</v>
      </c>
      <c r="AW82" s="290"/>
      <c r="AX82" s="290"/>
      <c r="AY82" s="265"/>
      <c r="AZ82" s="291"/>
      <c r="BA82" s="292" t="s">
        <v>885</v>
      </c>
      <c r="BB82" s="293" t="s">
        <v>2515</v>
      </c>
      <c r="BC82" s="294"/>
      <c r="BD82" s="294"/>
      <c r="BE82" s="294"/>
      <c r="BF82" s="294"/>
      <c r="BG82" s="294">
        <f t="shared" si="8"/>
        <v>0</v>
      </c>
      <c r="BH82" s="294"/>
      <c r="BI82" s="324" t="s">
        <v>2512</v>
      </c>
      <c r="BJ82" s="424" t="s">
        <v>2516</v>
      </c>
      <c r="BK82" s="482" t="s">
        <v>102</v>
      </c>
      <c r="BL82" s="297"/>
      <c r="BM82" s="297"/>
      <c r="BN82" s="298"/>
      <c r="BO82" s="299"/>
      <c r="BP82" s="300"/>
      <c r="BQ82" s="300"/>
      <c r="BR82" s="300" t="str">
        <f t="shared" si="13"/>
        <v>#REF!</v>
      </c>
      <c r="BS82" s="32"/>
      <c r="BT82" s="32"/>
    </row>
    <row r="83">
      <c r="A83" s="261">
        <v>9.102353033E9</v>
      </c>
      <c r="B83" s="262" t="s">
        <v>2517</v>
      </c>
      <c r="C83" s="355" t="s">
        <v>2518</v>
      </c>
      <c r="D83" s="264" t="s">
        <v>2519</v>
      </c>
      <c r="E83" s="301" t="s">
        <v>2520</v>
      </c>
      <c r="F83" s="305" t="s">
        <v>861</v>
      </c>
      <c r="G83" s="266" t="s">
        <v>495</v>
      </c>
      <c r="H83" s="302"/>
      <c r="I83" s="268" t="s">
        <v>459</v>
      </c>
      <c r="J83" s="269" t="str">
        <f>VLOOKUP(I83,DADOS!B:F,5,0)</f>
        <v>GILVANDO RIOS DA CRUZ - NTS025538</v>
      </c>
      <c r="K83" s="270" t="s">
        <v>413</v>
      </c>
      <c r="L83" s="262" t="s">
        <v>11</v>
      </c>
      <c r="M83" s="262" t="s">
        <v>105</v>
      </c>
      <c r="N83" s="271"/>
      <c r="O83" s="272"/>
      <c r="P83" s="335">
        <v>46007.0</v>
      </c>
      <c r="Q83" s="486">
        <v>46009.0</v>
      </c>
      <c r="R83" s="271">
        <v>46029.0</v>
      </c>
      <c r="S83" s="254" t="s">
        <v>2521</v>
      </c>
      <c r="T83" s="274">
        <v>46054.0</v>
      </c>
      <c r="U83" s="275" t="s">
        <v>93</v>
      </c>
      <c r="V83" s="255" t="str">
        <f>S83</f>
        <v>2025-162786</v>
      </c>
      <c r="W83" s="274">
        <v>46054.0</v>
      </c>
      <c r="X83" s="275" t="s">
        <v>93</v>
      </c>
      <c r="Y83" s="276"/>
      <c r="Z83" s="277"/>
      <c r="AA83" s="470"/>
      <c r="AB83" s="304" t="s">
        <v>2522</v>
      </c>
      <c r="AC83" s="262">
        <v>1.0</v>
      </c>
      <c r="AD83" s="263">
        <v>1.0</v>
      </c>
      <c r="AE83" s="262">
        <v>2.0</v>
      </c>
      <c r="AF83" s="280">
        <v>2.0</v>
      </c>
      <c r="AG83" s="280">
        <v>2.0</v>
      </c>
      <c r="AH83" s="281">
        <f t="shared" si="5"/>
        <v>0</v>
      </c>
      <c r="AI83" s="282">
        <f t="shared" si="6"/>
        <v>1</v>
      </c>
      <c r="AJ83" s="283">
        <v>1.0</v>
      </c>
      <c r="AK83" s="271">
        <v>46031.0</v>
      </c>
      <c r="AL83" s="271">
        <v>46035.0</v>
      </c>
      <c r="AM83" s="284"/>
      <c r="AN83" s="285">
        <v>46041.0</v>
      </c>
      <c r="AO83" s="262" t="s">
        <v>2523</v>
      </c>
      <c r="AP83" s="286" t="s">
        <v>2524</v>
      </c>
      <c r="AQ83" s="118" t="s">
        <v>2525</v>
      </c>
      <c r="AR83" s="286" t="s">
        <v>2526</v>
      </c>
      <c r="AS83" s="287">
        <v>13452.88</v>
      </c>
      <c r="AT83" s="287"/>
      <c r="AU83" s="288">
        <f>VLOOKUP(I83,DADOS!B:C,2,0)</f>
        <v>2326</v>
      </c>
      <c r="AV83" s="289">
        <f t="shared" si="7"/>
        <v>4960</v>
      </c>
      <c r="AW83" s="290">
        <v>0.1</v>
      </c>
      <c r="AX83" s="290"/>
      <c r="AY83" s="265"/>
      <c r="AZ83" s="291"/>
      <c r="BA83" s="292" t="s">
        <v>2527</v>
      </c>
      <c r="BB83" s="293" t="s">
        <v>2528</v>
      </c>
      <c r="BC83" s="294"/>
      <c r="BD83" s="294"/>
      <c r="BE83" s="294"/>
      <c r="BF83" s="294"/>
      <c r="BG83" s="294">
        <f t="shared" si="8"/>
        <v>0</v>
      </c>
      <c r="BH83" s="294"/>
      <c r="BI83" s="324" t="s">
        <v>2524</v>
      </c>
      <c r="BJ83" s="295" t="s">
        <v>2529</v>
      </c>
      <c r="BK83" s="482" t="s">
        <v>102</v>
      </c>
      <c r="BL83" s="297"/>
      <c r="BM83" s="297"/>
      <c r="BN83" s="298"/>
      <c r="BO83" s="299"/>
      <c r="BP83" s="300"/>
      <c r="BQ83" s="300"/>
      <c r="BR83" s="300" t="str">
        <f t="shared" si="13"/>
        <v>#REF!</v>
      </c>
      <c r="BS83" s="300"/>
      <c r="BT83" s="300"/>
    </row>
    <row r="84">
      <c r="A84" s="261">
        <v>9.102350691E9</v>
      </c>
      <c r="B84" s="262" t="s">
        <v>2530</v>
      </c>
      <c r="C84" s="264" t="s">
        <v>93</v>
      </c>
      <c r="D84" s="264" t="s">
        <v>93</v>
      </c>
      <c r="E84" s="301" t="s">
        <v>2531</v>
      </c>
      <c r="F84" s="305" t="s">
        <v>861</v>
      </c>
      <c r="G84" s="266" t="s">
        <v>495</v>
      </c>
      <c r="H84" s="302"/>
      <c r="I84" s="268" t="s">
        <v>459</v>
      </c>
      <c r="J84" s="269" t="str">
        <f>VLOOKUP(I84,DADOS!B:F,5,0)</f>
        <v>GILVANDO RIOS DA CRUZ - NTS025538</v>
      </c>
      <c r="K84" s="270" t="s">
        <v>413</v>
      </c>
      <c r="L84" s="303" t="s">
        <v>4</v>
      </c>
      <c r="M84" s="262" t="s">
        <v>105</v>
      </c>
      <c r="N84" s="271"/>
      <c r="O84" s="272"/>
      <c r="P84" s="335">
        <v>46007.0</v>
      </c>
      <c r="Q84" s="486">
        <v>46009.0</v>
      </c>
      <c r="R84" s="271">
        <v>46029.0</v>
      </c>
      <c r="S84" s="275" t="s">
        <v>93</v>
      </c>
      <c r="T84" s="275" t="s">
        <v>93</v>
      </c>
      <c r="U84" s="275" t="s">
        <v>93</v>
      </c>
      <c r="V84" s="255" t="s">
        <v>2532</v>
      </c>
      <c r="W84" s="333">
        <v>46054.0</v>
      </c>
      <c r="X84" s="275" t="s">
        <v>93</v>
      </c>
      <c r="Y84" s="276"/>
      <c r="Z84" s="277"/>
      <c r="AA84" s="278"/>
      <c r="AB84" s="304" t="s">
        <v>93</v>
      </c>
      <c r="AC84" s="262">
        <v>1.0</v>
      </c>
      <c r="AD84" s="262">
        <v>0.0</v>
      </c>
      <c r="AE84" s="262">
        <v>0.0</v>
      </c>
      <c r="AF84" s="280">
        <v>0.0</v>
      </c>
      <c r="AG84" s="280">
        <v>0.0</v>
      </c>
      <c r="AH84" s="281">
        <f t="shared" si="5"/>
        <v>0</v>
      </c>
      <c r="AI84" s="282">
        <f t="shared" si="6"/>
        <v>0</v>
      </c>
      <c r="AJ84" s="283">
        <v>1.0</v>
      </c>
      <c r="AK84" s="271">
        <v>46038.0</v>
      </c>
      <c r="AL84" s="271">
        <v>46038.0</v>
      </c>
      <c r="AM84" s="284"/>
      <c r="AN84" s="285">
        <v>46038.0</v>
      </c>
      <c r="AO84" s="262" t="s">
        <v>2533</v>
      </c>
      <c r="AP84" s="286" t="s">
        <v>2534</v>
      </c>
      <c r="AQ84" s="118" t="s">
        <v>2535</v>
      </c>
      <c r="AR84" s="286" t="s">
        <v>2536</v>
      </c>
      <c r="AS84" s="287">
        <v>3663.05</v>
      </c>
      <c r="AT84" s="287"/>
      <c r="AU84" s="288">
        <f>VLOOKUP(I84,DADOS!B:C,2,0)</f>
        <v>2326</v>
      </c>
      <c r="AV84" s="289">
        <f t="shared" si="7"/>
        <v>0</v>
      </c>
      <c r="AW84" s="290">
        <v>0.128</v>
      </c>
      <c r="AX84" s="290"/>
      <c r="AY84" s="265"/>
      <c r="AZ84" s="291"/>
      <c r="BA84" s="292" t="s">
        <v>868</v>
      </c>
      <c r="BB84" s="293" t="s">
        <v>2537</v>
      </c>
      <c r="BC84" s="294"/>
      <c r="BD84" s="294"/>
      <c r="BE84" s="294"/>
      <c r="BF84" s="294"/>
      <c r="BG84" s="294">
        <f t="shared" si="8"/>
        <v>0</v>
      </c>
      <c r="BH84" s="294"/>
      <c r="BI84" s="324" t="s">
        <v>2534</v>
      </c>
      <c r="BJ84" s="424" t="s">
        <v>2538</v>
      </c>
      <c r="BK84" s="482" t="s">
        <v>102</v>
      </c>
      <c r="BL84" s="297"/>
      <c r="BM84" s="297"/>
      <c r="BN84" s="298"/>
      <c r="BO84" s="299"/>
      <c r="BP84" s="300"/>
      <c r="BQ84" s="300"/>
      <c r="BR84" s="300" t="str">
        <f t="shared" si="13"/>
        <v>#REF!</v>
      </c>
      <c r="BS84" s="300"/>
      <c r="BT84" s="300"/>
    </row>
    <row r="85">
      <c r="A85" s="140">
        <v>9.102340866E9</v>
      </c>
      <c r="B85" s="141" t="s">
        <v>2539</v>
      </c>
      <c r="C85" s="142"/>
      <c r="D85" s="142"/>
      <c r="E85" s="172" t="s">
        <v>2540</v>
      </c>
      <c r="F85" s="144" t="s">
        <v>861</v>
      </c>
      <c r="G85" s="145" t="s">
        <v>162</v>
      </c>
      <c r="H85" s="146" t="s">
        <v>2541</v>
      </c>
      <c r="I85" s="147" t="s">
        <v>584</v>
      </c>
      <c r="J85" s="148" t="str">
        <f>VLOOKUP(I85,DADOS!B:F,5,0)</f>
        <v>GILVANDO RIOS DA CRUZ - NTS025538</v>
      </c>
      <c r="K85" s="149" t="s">
        <v>413</v>
      </c>
      <c r="L85" s="190" t="s">
        <v>4</v>
      </c>
      <c r="M85" s="141" t="s">
        <v>105</v>
      </c>
      <c r="N85" s="150">
        <v>46009.0</v>
      </c>
      <c r="O85" s="151"/>
      <c r="P85" s="493" t="s">
        <v>2542</v>
      </c>
      <c r="Q85" s="489">
        <v>46009.0</v>
      </c>
      <c r="R85" s="150"/>
      <c r="S85" s="153" t="s">
        <v>2543</v>
      </c>
      <c r="T85" s="154">
        <v>46054.0</v>
      </c>
      <c r="U85" s="153" t="s">
        <v>93</v>
      </c>
      <c r="V85" s="155" t="str">
        <f>X85</f>
        <v>2025-162595</v>
      </c>
      <c r="W85" s="156"/>
      <c r="X85" s="153" t="s">
        <v>2544</v>
      </c>
      <c r="Y85" s="157"/>
      <c r="Z85" s="158" t="s">
        <v>162</v>
      </c>
      <c r="AA85" s="159"/>
      <c r="AB85" s="160" t="s">
        <v>1772</v>
      </c>
      <c r="AC85" s="141">
        <v>1.0</v>
      </c>
      <c r="AD85" s="141"/>
      <c r="AE85" s="141">
        <v>7.0</v>
      </c>
      <c r="AF85" s="161"/>
      <c r="AG85" s="161"/>
      <c r="AH85" s="162">
        <f t="shared" si="5"/>
        <v>7</v>
      </c>
      <c r="AI85" s="163">
        <f t="shared" si="6"/>
        <v>0</v>
      </c>
      <c r="AJ85" s="189"/>
      <c r="AK85" s="150">
        <v>46028.0</v>
      </c>
      <c r="AL85" s="150">
        <v>46030.0</v>
      </c>
      <c r="AM85" s="164"/>
      <c r="AN85" s="428">
        <v>46052.0</v>
      </c>
      <c r="AO85" s="141"/>
      <c r="AP85" s="166" t="s">
        <v>2545</v>
      </c>
      <c r="AQ85" s="191" t="s">
        <v>2546</v>
      </c>
      <c r="AR85" s="166" t="s">
        <v>2547</v>
      </c>
      <c r="AS85" s="168">
        <v>43977.84</v>
      </c>
      <c r="AT85" s="168"/>
      <c r="AU85" s="169">
        <f>VLOOKUP(I85,DADOS!B:C,2,0)</f>
        <v>2381</v>
      </c>
      <c r="AV85" s="170">
        <f t="shared" si="7"/>
        <v>17360</v>
      </c>
      <c r="AW85" s="171">
        <v>0.436</v>
      </c>
      <c r="AX85" s="171"/>
      <c r="AY85" s="172"/>
      <c r="AZ85" s="173"/>
      <c r="BA85" s="174" t="s">
        <v>868</v>
      </c>
      <c r="BB85" s="175" t="s">
        <v>2548</v>
      </c>
      <c r="BC85" s="176"/>
      <c r="BD85" s="176"/>
      <c r="BE85" s="176"/>
      <c r="BF85" s="176"/>
      <c r="BG85" s="176">
        <f t="shared" si="8"/>
        <v>0</v>
      </c>
      <c r="BH85" s="176"/>
      <c r="BI85" s="343" t="s">
        <v>2545</v>
      </c>
      <c r="BJ85" s="178" t="s">
        <v>2549</v>
      </c>
      <c r="BK85" s="494" t="s">
        <v>102</v>
      </c>
      <c r="BL85" s="180"/>
      <c r="BM85" s="180"/>
      <c r="BN85" s="181"/>
      <c r="BO85" s="130"/>
      <c r="BP85" s="131"/>
      <c r="BQ85" s="131"/>
      <c r="BR85" s="131" t="str">
        <f t="shared" si="13"/>
        <v>#REF!</v>
      </c>
      <c r="BS85" s="300"/>
      <c r="BT85" s="300"/>
    </row>
    <row r="86">
      <c r="A86" s="261">
        <v>9.102343452E9</v>
      </c>
      <c r="B86" s="262" t="s">
        <v>2550</v>
      </c>
      <c r="C86" s="264" t="s">
        <v>93</v>
      </c>
      <c r="D86" s="264" t="s">
        <v>93</v>
      </c>
      <c r="E86" s="265" t="s">
        <v>2551</v>
      </c>
      <c r="F86" s="305" t="s">
        <v>861</v>
      </c>
      <c r="G86" s="266" t="s">
        <v>495</v>
      </c>
      <c r="H86" s="302"/>
      <c r="I86" s="268" t="s">
        <v>459</v>
      </c>
      <c r="J86" s="269" t="str">
        <f>VLOOKUP(I86,DADOS!B:F,5,0)</f>
        <v>GILVANDO RIOS DA CRUZ - NTS025538</v>
      </c>
      <c r="K86" s="270" t="s">
        <v>413</v>
      </c>
      <c r="L86" s="262" t="s">
        <v>444</v>
      </c>
      <c r="M86" s="262" t="s">
        <v>105</v>
      </c>
      <c r="N86" s="271"/>
      <c r="O86" s="272"/>
      <c r="P86" s="335">
        <v>46007.0</v>
      </c>
      <c r="Q86" s="486">
        <v>46009.0</v>
      </c>
      <c r="R86" s="271">
        <v>46029.0</v>
      </c>
      <c r="S86" s="275" t="s">
        <v>93</v>
      </c>
      <c r="T86" s="275" t="s">
        <v>93</v>
      </c>
      <c r="U86" s="275" t="s">
        <v>93</v>
      </c>
      <c r="V86" s="255" t="s">
        <v>2552</v>
      </c>
      <c r="W86" s="333">
        <v>46054.0</v>
      </c>
      <c r="X86" s="275" t="s">
        <v>93</v>
      </c>
      <c r="Y86" s="276"/>
      <c r="Z86" s="277"/>
      <c r="AA86" s="470"/>
      <c r="AB86" s="304" t="s">
        <v>2553</v>
      </c>
      <c r="AC86" s="262">
        <v>1.0</v>
      </c>
      <c r="AD86" s="262">
        <v>0.0</v>
      </c>
      <c r="AE86" s="262">
        <v>3.0</v>
      </c>
      <c r="AF86" s="280">
        <v>3.0</v>
      </c>
      <c r="AG86" s="280">
        <v>3.0</v>
      </c>
      <c r="AH86" s="281">
        <f t="shared" si="5"/>
        <v>0</v>
      </c>
      <c r="AI86" s="282">
        <f t="shared" si="6"/>
        <v>1</v>
      </c>
      <c r="AJ86" s="283">
        <v>1.0</v>
      </c>
      <c r="AK86" s="271">
        <v>46029.0</v>
      </c>
      <c r="AL86" s="271">
        <v>46036.0</v>
      </c>
      <c r="AM86" s="284"/>
      <c r="AN86" s="285">
        <v>46035.0</v>
      </c>
      <c r="AO86" s="262" t="s">
        <v>2554</v>
      </c>
      <c r="AP86" s="286" t="s">
        <v>2555</v>
      </c>
      <c r="AQ86" s="118" t="s">
        <v>2556</v>
      </c>
      <c r="AR86" s="286" t="s">
        <v>2557</v>
      </c>
      <c r="AS86" s="287">
        <v>20435.47</v>
      </c>
      <c r="AT86" s="287"/>
      <c r="AU86" s="288">
        <f>VLOOKUP(I86,DADOS!B:C,2,0)</f>
        <v>2326</v>
      </c>
      <c r="AV86" s="289">
        <f t="shared" si="7"/>
        <v>7440</v>
      </c>
      <c r="AW86" s="290">
        <v>0.12</v>
      </c>
      <c r="AX86" s="290"/>
      <c r="AY86" s="265"/>
      <c r="AZ86" s="291"/>
      <c r="BA86" s="292" t="s">
        <v>885</v>
      </c>
      <c r="BB86" s="293" t="s">
        <v>2558</v>
      </c>
      <c r="BC86" s="294"/>
      <c r="BD86" s="294"/>
      <c r="BE86" s="294"/>
      <c r="BF86" s="294"/>
      <c r="BG86" s="294">
        <f t="shared" si="8"/>
        <v>0</v>
      </c>
      <c r="BH86" s="294"/>
      <c r="BI86" s="324" t="s">
        <v>2555</v>
      </c>
      <c r="BJ86" s="424" t="s">
        <v>2559</v>
      </c>
      <c r="BK86" s="482" t="s">
        <v>102</v>
      </c>
      <c r="BL86" s="129"/>
      <c r="BM86" s="129"/>
      <c r="BN86" s="36"/>
      <c r="BO86" s="130"/>
      <c r="BP86" s="32"/>
      <c r="BQ86" s="32"/>
      <c r="BR86" s="300" t="str">
        <f t="shared" si="13"/>
        <v>#REF!</v>
      </c>
      <c r="BS86" s="300"/>
      <c r="BT86" s="300"/>
    </row>
    <row r="87">
      <c r="A87" s="261">
        <v>9.102352289E9</v>
      </c>
      <c r="B87" s="262" t="s">
        <v>2560</v>
      </c>
      <c r="C87" s="264" t="s">
        <v>93</v>
      </c>
      <c r="D87" s="264" t="s">
        <v>93</v>
      </c>
      <c r="E87" s="265" t="s">
        <v>2561</v>
      </c>
      <c r="F87" s="305" t="s">
        <v>861</v>
      </c>
      <c r="G87" s="266" t="s">
        <v>495</v>
      </c>
      <c r="H87" s="302"/>
      <c r="I87" s="268" t="s">
        <v>459</v>
      </c>
      <c r="J87" s="269" t="str">
        <f>VLOOKUP(I87,DADOS!B:F,5,0)</f>
        <v>GILVANDO RIOS DA CRUZ - NTS025538</v>
      </c>
      <c r="K87" s="270" t="s">
        <v>413</v>
      </c>
      <c r="L87" s="262" t="s">
        <v>444</v>
      </c>
      <c r="M87" s="262" t="s">
        <v>105</v>
      </c>
      <c r="N87" s="271"/>
      <c r="O87" s="272"/>
      <c r="P87" s="335">
        <v>46007.0</v>
      </c>
      <c r="Q87" s="486">
        <v>46009.0</v>
      </c>
      <c r="R87" s="271">
        <v>46029.0</v>
      </c>
      <c r="S87" s="275" t="s">
        <v>93</v>
      </c>
      <c r="T87" s="275" t="s">
        <v>93</v>
      </c>
      <c r="U87" s="275" t="s">
        <v>93</v>
      </c>
      <c r="V87" s="255" t="s">
        <v>2562</v>
      </c>
      <c r="W87" s="333">
        <v>46054.0</v>
      </c>
      <c r="X87" s="275" t="s">
        <v>93</v>
      </c>
      <c r="Y87" s="276"/>
      <c r="Z87" s="277"/>
      <c r="AA87" s="278"/>
      <c r="AB87" s="304" t="s">
        <v>2563</v>
      </c>
      <c r="AC87" s="262">
        <v>1.0</v>
      </c>
      <c r="AD87" s="262">
        <v>0.0</v>
      </c>
      <c r="AE87" s="262">
        <v>2.0</v>
      </c>
      <c r="AF87" s="280">
        <v>2.0</v>
      </c>
      <c r="AG87" s="280">
        <v>2.0</v>
      </c>
      <c r="AH87" s="281">
        <f t="shared" si="5"/>
        <v>0</v>
      </c>
      <c r="AI87" s="282">
        <f t="shared" si="6"/>
        <v>1</v>
      </c>
      <c r="AJ87" s="283">
        <v>1.0</v>
      </c>
      <c r="AK87" s="271">
        <v>46027.0</v>
      </c>
      <c r="AL87" s="271">
        <v>46037.0</v>
      </c>
      <c r="AM87" s="284"/>
      <c r="AN87" s="285">
        <v>46035.0</v>
      </c>
      <c r="AO87" s="262" t="s">
        <v>2564</v>
      </c>
      <c r="AP87" s="286" t="s">
        <v>2565</v>
      </c>
      <c r="AQ87" s="118" t="s">
        <v>2566</v>
      </c>
      <c r="AR87" s="286" t="s">
        <v>2567</v>
      </c>
      <c r="AS87" s="287">
        <v>12930.25</v>
      </c>
      <c r="AT87" s="287"/>
      <c r="AU87" s="288">
        <f>VLOOKUP(I87,DADOS!B:C,2,0)</f>
        <v>2326</v>
      </c>
      <c r="AV87" s="289">
        <f t="shared" si="7"/>
        <v>4960</v>
      </c>
      <c r="AW87" s="290">
        <v>0.12</v>
      </c>
      <c r="AX87" s="290"/>
      <c r="AY87" s="265"/>
      <c r="AZ87" s="291"/>
      <c r="BA87" s="292" t="s">
        <v>885</v>
      </c>
      <c r="BB87" s="293" t="s">
        <v>2568</v>
      </c>
      <c r="BC87" s="294"/>
      <c r="BD87" s="294"/>
      <c r="BE87" s="294"/>
      <c r="BF87" s="294"/>
      <c r="BG87" s="294">
        <f t="shared" si="8"/>
        <v>0</v>
      </c>
      <c r="BH87" s="294"/>
      <c r="BI87" s="324" t="s">
        <v>2565</v>
      </c>
      <c r="BJ87" s="424" t="s">
        <v>2569</v>
      </c>
      <c r="BK87" s="482" t="s">
        <v>102</v>
      </c>
      <c r="BL87" s="129"/>
      <c r="BM87" s="129"/>
      <c r="BN87" s="36"/>
      <c r="BO87" s="130"/>
      <c r="BP87" s="32"/>
      <c r="BQ87" s="32"/>
      <c r="BR87" s="300" t="str">
        <f t="shared" si="13"/>
        <v>#REF!</v>
      </c>
      <c r="BS87" s="300"/>
      <c r="BT87" s="300"/>
    </row>
    <row r="88">
      <c r="A88" s="437">
        <v>9.102353994E9</v>
      </c>
      <c r="B88" s="262" t="s">
        <v>2570</v>
      </c>
      <c r="C88" s="264" t="s">
        <v>93</v>
      </c>
      <c r="D88" s="264" t="s">
        <v>93</v>
      </c>
      <c r="E88" s="301" t="s">
        <v>2571</v>
      </c>
      <c r="F88" s="305" t="s">
        <v>861</v>
      </c>
      <c r="G88" s="266" t="s">
        <v>495</v>
      </c>
      <c r="H88" s="495" t="s">
        <v>2572</v>
      </c>
      <c r="I88" s="268" t="s">
        <v>459</v>
      </c>
      <c r="J88" s="269" t="str">
        <f>VLOOKUP(I88,DADOS!B:F,5,0)</f>
        <v>GILVANDO RIOS DA CRUZ - NTS025538</v>
      </c>
      <c r="K88" s="270" t="s">
        <v>413</v>
      </c>
      <c r="L88" s="303" t="s">
        <v>4</v>
      </c>
      <c r="M88" s="262" t="s">
        <v>105</v>
      </c>
      <c r="N88" s="271">
        <v>46014.0</v>
      </c>
      <c r="O88" s="496" t="s">
        <v>2573</v>
      </c>
      <c r="P88" s="252">
        <v>46015.0</v>
      </c>
      <c r="Q88" s="273">
        <v>46015.0</v>
      </c>
      <c r="R88" s="271">
        <v>46029.0</v>
      </c>
      <c r="S88" s="254" t="s">
        <v>2574</v>
      </c>
      <c r="T88" s="274">
        <v>46054.0</v>
      </c>
      <c r="U88" s="275" t="s">
        <v>93</v>
      </c>
      <c r="V88" s="255" t="s">
        <v>2575</v>
      </c>
      <c r="W88" s="274">
        <v>46054.0</v>
      </c>
      <c r="X88" s="275" t="s">
        <v>93</v>
      </c>
      <c r="Y88" s="276"/>
      <c r="Z88" s="277"/>
      <c r="AA88" s="470" t="s">
        <v>2576</v>
      </c>
      <c r="AB88" s="279" t="s">
        <v>2577</v>
      </c>
      <c r="AC88" s="262">
        <v>2.0</v>
      </c>
      <c r="AD88" s="262">
        <v>0.0</v>
      </c>
      <c r="AE88" s="262">
        <f>12+2</f>
        <v>14</v>
      </c>
      <c r="AF88" s="280">
        <v>14.0</v>
      </c>
      <c r="AG88" s="280">
        <v>14.0</v>
      </c>
      <c r="AH88" s="281">
        <f t="shared" si="5"/>
        <v>0</v>
      </c>
      <c r="AI88" s="282">
        <f t="shared" si="6"/>
        <v>1</v>
      </c>
      <c r="AJ88" s="283">
        <v>0.5</v>
      </c>
      <c r="AK88" s="271">
        <v>46027.0</v>
      </c>
      <c r="AL88" s="271">
        <v>46037.0</v>
      </c>
      <c r="AM88" s="284"/>
      <c r="AN88" s="285">
        <v>46050.0</v>
      </c>
      <c r="AO88" s="262" t="s">
        <v>2578</v>
      </c>
      <c r="AP88" s="286" t="s">
        <v>2579</v>
      </c>
      <c r="AQ88" s="118" t="s">
        <v>2580</v>
      </c>
      <c r="AR88" s="286" t="s">
        <v>2581</v>
      </c>
      <c r="AS88" s="287">
        <v>111694.26</v>
      </c>
      <c r="AT88" s="287"/>
      <c r="AU88" s="288">
        <f>VLOOKUP(I88,DADOS!B:C,2,0)</f>
        <v>2326</v>
      </c>
      <c r="AV88" s="289">
        <f t="shared" si="7"/>
        <v>34720</v>
      </c>
      <c r="AW88" s="290"/>
      <c r="AX88" s="290"/>
      <c r="AY88" s="265"/>
      <c r="AZ88" s="291"/>
      <c r="BA88" s="292" t="s">
        <v>690</v>
      </c>
      <c r="BB88" s="293" t="s">
        <v>2582</v>
      </c>
      <c r="BC88" s="294"/>
      <c r="BD88" s="294"/>
      <c r="BE88" s="294"/>
      <c r="BF88" s="294"/>
      <c r="BG88" s="294">
        <f t="shared" si="8"/>
        <v>0</v>
      </c>
      <c r="BH88" s="294"/>
      <c r="BI88" s="324" t="s">
        <v>2579</v>
      </c>
      <c r="BJ88" s="295" t="s">
        <v>2583</v>
      </c>
      <c r="BK88" s="482" t="s">
        <v>102</v>
      </c>
      <c r="BL88" s="297"/>
      <c r="BM88" s="297"/>
      <c r="BN88" s="298"/>
      <c r="BO88" s="299"/>
      <c r="BP88" s="300"/>
      <c r="BQ88" s="300"/>
      <c r="BR88" s="300" t="str">
        <f t="shared" si="13"/>
        <v>#REF!</v>
      </c>
      <c r="BS88" s="32"/>
      <c r="BT88" s="32"/>
    </row>
    <row r="89">
      <c r="A89" s="261">
        <v>9.102338983E9</v>
      </c>
      <c r="B89" s="262" t="s">
        <v>2584</v>
      </c>
      <c r="C89" s="264" t="s">
        <v>93</v>
      </c>
      <c r="D89" s="264" t="s">
        <v>93</v>
      </c>
      <c r="E89" s="497" t="s">
        <v>2585</v>
      </c>
      <c r="F89" s="305" t="s">
        <v>902</v>
      </c>
      <c r="G89" s="266" t="s">
        <v>495</v>
      </c>
      <c r="H89" s="302"/>
      <c r="I89" s="268" t="s">
        <v>584</v>
      </c>
      <c r="J89" s="269" t="str">
        <f>VLOOKUP(I89,DADOS!B:F,5,0)</f>
        <v>GILVANDO RIOS DA CRUZ - NTS025538</v>
      </c>
      <c r="K89" s="270" t="s">
        <v>585</v>
      </c>
      <c r="L89" s="303" t="s">
        <v>4</v>
      </c>
      <c r="M89" s="262" t="s">
        <v>1683</v>
      </c>
      <c r="N89" s="271"/>
      <c r="O89" s="272"/>
      <c r="P89" s="335">
        <v>46006.0</v>
      </c>
      <c r="Q89" s="486">
        <v>46009.0</v>
      </c>
      <c r="R89" s="271">
        <v>46029.0</v>
      </c>
      <c r="S89" s="275" t="s">
        <v>93</v>
      </c>
      <c r="T89" s="275" t="s">
        <v>93</v>
      </c>
      <c r="U89" s="275" t="s">
        <v>93</v>
      </c>
      <c r="V89" s="255" t="s">
        <v>2586</v>
      </c>
      <c r="W89" s="333">
        <v>46054.0</v>
      </c>
      <c r="X89" s="275" t="s">
        <v>93</v>
      </c>
      <c r="Y89" s="276"/>
      <c r="Z89" s="277"/>
      <c r="AA89" s="278" t="s">
        <v>2587</v>
      </c>
      <c r="AB89" s="304" t="s">
        <v>2588</v>
      </c>
      <c r="AC89" s="262">
        <v>1.0</v>
      </c>
      <c r="AD89" s="262">
        <v>0.0</v>
      </c>
      <c r="AE89" s="262">
        <v>6.0</v>
      </c>
      <c r="AF89" s="280">
        <v>6.0</v>
      </c>
      <c r="AG89" s="280">
        <v>6.0</v>
      </c>
      <c r="AH89" s="281">
        <f t="shared" si="5"/>
        <v>0</v>
      </c>
      <c r="AI89" s="282">
        <f t="shared" si="6"/>
        <v>1</v>
      </c>
      <c r="AJ89" s="283">
        <v>1.0</v>
      </c>
      <c r="AK89" s="271">
        <v>46029.0</v>
      </c>
      <c r="AL89" s="271">
        <v>46037.0</v>
      </c>
      <c r="AM89" s="284"/>
      <c r="AN89" s="285">
        <v>46038.0</v>
      </c>
      <c r="AO89" s="262" t="s">
        <v>2589</v>
      </c>
      <c r="AP89" s="286" t="s">
        <v>2590</v>
      </c>
      <c r="AQ89" s="118" t="s">
        <v>2591</v>
      </c>
      <c r="AR89" s="286" t="s">
        <v>2592</v>
      </c>
      <c r="AS89" s="287">
        <v>37467.15</v>
      </c>
      <c r="AT89" s="287"/>
      <c r="AU89" s="288">
        <f>VLOOKUP(I89,DADOS!B:C,2,0)</f>
        <v>2381</v>
      </c>
      <c r="AV89" s="289">
        <f t="shared" si="7"/>
        <v>14880</v>
      </c>
      <c r="AW89" s="290">
        <v>0.265</v>
      </c>
      <c r="AX89" s="290"/>
      <c r="AY89" s="265"/>
      <c r="AZ89" s="291"/>
      <c r="BA89" s="292" t="s">
        <v>868</v>
      </c>
      <c r="BB89" s="293" t="s">
        <v>2593</v>
      </c>
      <c r="BC89" s="294"/>
      <c r="BD89" s="294"/>
      <c r="BE89" s="294"/>
      <c r="BF89" s="294"/>
      <c r="BG89" s="294">
        <f t="shared" si="8"/>
        <v>0</v>
      </c>
      <c r="BH89" s="294"/>
      <c r="BI89" s="324" t="s">
        <v>2590</v>
      </c>
      <c r="BJ89" s="424" t="s">
        <v>2594</v>
      </c>
      <c r="BK89" s="482" t="s">
        <v>102</v>
      </c>
      <c r="BL89" s="297"/>
      <c r="BM89" s="297"/>
      <c r="BN89" s="298"/>
      <c r="BO89" s="299"/>
      <c r="BP89" s="300"/>
      <c r="BQ89" s="300"/>
      <c r="BR89" s="300" t="str">
        <f t="shared" si="13"/>
        <v>#REF!</v>
      </c>
      <c r="BS89" s="300"/>
      <c r="BT89" s="300"/>
    </row>
    <row r="90">
      <c r="A90" s="498">
        <v>9.102022758E9</v>
      </c>
      <c r="B90" s="499" t="s">
        <v>2595</v>
      </c>
      <c r="C90" s="402" t="s">
        <v>2596</v>
      </c>
      <c r="D90" s="402" t="s">
        <v>2597</v>
      </c>
      <c r="E90" s="301" t="s">
        <v>2598</v>
      </c>
      <c r="F90" s="301" t="s">
        <v>902</v>
      </c>
      <c r="G90" s="500" t="s">
        <v>495</v>
      </c>
      <c r="H90" s="501"/>
      <c r="I90" s="502" t="s">
        <v>584</v>
      </c>
      <c r="J90" s="500" t="str">
        <f>VLOOKUP(I90,DADOS!B:F,5,0)</f>
        <v>GILVANDO RIOS DA CRUZ - NTS025538</v>
      </c>
      <c r="K90" s="503" t="s">
        <v>585</v>
      </c>
      <c r="L90" s="499" t="s">
        <v>2595</v>
      </c>
      <c r="M90" s="499" t="s">
        <v>91</v>
      </c>
      <c r="N90" s="504">
        <v>46008.0</v>
      </c>
      <c r="O90" s="505" t="s">
        <v>1845</v>
      </c>
      <c r="P90" s="506">
        <v>46006.0</v>
      </c>
      <c r="Q90" s="507">
        <v>46008.0</v>
      </c>
      <c r="R90" s="504">
        <v>46029.0</v>
      </c>
      <c r="S90" s="508" t="s">
        <v>2599</v>
      </c>
      <c r="T90" s="509">
        <v>46054.0</v>
      </c>
      <c r="U90" s="510" t="s">
        <v>93</v>
      </c>
      <c r="V90" s="511" t="s">
        <v>2600</v>
      </c>
      <c r="W90" s="509">
        <v>46054.0</v>
      </c>
      <c r="X90" s="510" t="s">
        <v>93</v>
      </c>
      <c r="Y90" s="512"/>
      <c r="Z90" s="513"/>
      <c r="AA90" s="514" t="s">
        <v>2601</v>
      </c>
      <c r="AB90" s="515" t="s">
        <v>2602</v>
      </c>
      <c r="AC90" s="499">
        <v>1.0</v>
      </c>
      <c r="AD90" s="499">
        <v>0.0</v>
      </c>
      <c r="AE90" s="499">
        <v>6.0</v>
      </c>
      <c r="AF90" s="516">
        <v>6.0</v>
      </c>
      <c r="AG90" s="516">
        <v>6.0</v>
      </c>
      <c r="AH90" s="281">
        <f t="shared" si="5"/>
        <v>0</v>
      </c>
      <c r="AI90" s="517">
        <f t="shared" si="6"/>
        <v>1</v>
      </c>
      <c r="AJ90" s="518">
        <v>1.0</v>
      </c>
      <c r="AK90" s="504">
        <v>46030.0</v>
      </c>
      <c r="AL90" s="504">
        <v>46036.0</v>
      </c>
      <c r="AM90" s="519"/>
      <c r="AN90" s="285">
        <v>46048.0</v>
      </c>
      <c r="AO90" s="499" t="s">
        <v>2603</v>
      </c>
      <c r="AP90" s="520" t="s">
        <v>2604</v>
      </c>
      <c r="AQ90" s="521" t="s">
        <v>2605</v>
      </c>
      <c r="AR90" s="520" t="s">
        <v>2606</v>
      </c>
      <c r="AS90" s="522">
        <v>41146.05</v>
      </c>
      <c r="AT90" s="522"/>
      <c r="AU90" s="523">
        <f>VLOOKUP(I90,DADOS!B:C,2,0)</f>
        <v>2381</v>
      </c>
      <c r="AV90" s="523">
        <f t="shared" si="7"/>
        <v>14880</v>
      </c>
      <c r="AW90" s="524">
        <v>0.375</v>
      </c>
      <c r="AX90" s="524"/>
      <c r="AY90" s="301"/>
      <c r="AZ90" s="525"/>
      <c r="BA90" s="526" t="s">
        <v>178</v>
      </c>
      <c r="BB90" s="527" t="s">
        <v>2607</v>
      </c>
      <c r="BC90" s="528"/>
      <c r="BD90" s="528"/>
      <c r="BE90" s="528"/>
      <c r="BF90" s="528"/>
      <c r="BG90" s="528">
        <f t="shared" si="8"/>
        <v>0</v>
      </c>
      <c r="BH90" s="528"/>
      <c r="BI90" s="520" t="s">
        <v>2604</v>
      </c>
      <c r="BJ90" s="529" t="s">
        <v>2608</v>
      </c>
      <c r="BK90" s="530" t="s">
        <v>102</v>
      </c>
      <c r="BL90" s="531"/>
      <c r="BM90" s="531"/>
      <c r="BN90" s="532"/>
      <c r="BO90" s="533" t="s">
        <v>2609</v>
      </c>
      <c r="BP90" s="534"/>
      <c r="BQ90" s="534"/>
      <c r="BR90" s="534" t="str">
        <f t="shared" si="13"/>
        <v>#REF!</v>
      </c>
      <c r="BS90" s="535"/>
      <c r="BT90" s="535"/>
    </row>
    <row r="91">
      <c r="A91" s="261">
        <v>9.10235554E9</v>
      </c>
      <c r="B91" s="262" t="s">
        <v>2610</v>
      </c>
      <c r="C91" s="536" t="s">
        <v>2611</v>
      </c>
      <c r="D91" s="264" t="s">
        <v>2612</v>
      </c>
      <c r="E91" s="301" t="s">
        <v>2613</v>
      </c>
      <c r="F91" s="305" t="s">
        <v>902</v>
      </c>
      <c r="G91" s="266" t="s">
        <v>495</v>
      </c>
      <c r="H91" s="302"/>
      <c r="I91" s="268" t="s">
        <v>584</v>
      </c>
      <c r="J91" s="269" t="str">
        <f>VLOOKUP(I91,DADOS!B:F,5,0)</f>
        <v>GILVANDO RIOS DA CRUZ - NTS025538</v>
      </c>
      <c r="K91" s="270" t="s">
        <v>585</v>
      </c>
      <c r="L91" s="262" t="s">
        <v>11</v>
      </c>
      <c r="M91" s="262" t="s">
        <v>105</v>
      </c>
      <c r="N91" s="271"/>
      <c r="O91" s="272"/>
      <c r="P91" s="335">
        <v>46006.0</v>
      </c>
      <c r="Q91" s="486">
        <v>46009.0</v>
      </c>
      <c r="R91" s="271">
        <v>46029.0</v>
      </c>
      <c r="S91" s="275" t="s">
        <v>93</v>
      </c>
      <c r="T91" s="275" t="s">
        <v>93</v>
      </c>
      <c r="U91" s="275" t="s">
        <v>93</v>
      </c>
      <c r="V91" s="255" t="s">
        <v>2614</v>
      </c>
      <c r="W91" s="333">
        <v>46054.0</v>
      </c>
      <c r="X91" s="275" t="s">
        <v>93</v>
      </c>
      <c r="Y91" s="276"/>
      <c r="Z91" s="277"/>
      <c r="AA91" s="278"/>
      <c r="AB91" s="304" t="s">
        <v>2615</v>
      </c>
      <c r="AC91" s="262">
        <v>1.0</v>
      </c>
      <c r="AD91" s="263">
        <v>1.0</v>
      </c>
      <c r="AE91" s="262">
        <v>4.0</v>
      </c>
      <c r="AF91" s="280">
        <v>4.0</v>
      </c>
      <c r="AG91" s="280">
        <v>4.0</v>
      </c>
      <c r="AH91" s="281">
        <f t="shared" si="5"/>
        <v>0</v>
      </c>
      <c r="AI91" s="282">
        <f t="shared" si="6"/>
        <v>1</v>
      </c>
      <c r="AJ91" s="283">
        <v>1.0</v>
      </c>
      <c r="AK91" s="271">
        <v>46030.0</v>
      </c>
      <c r="AL91" s="271">
        <v>46036.0</v>
      </c>
      <c r="AM91" s="284"/>
      <c r="AN91" s="285">
        <v>46041.0</v>
      </c>
      <c r="AO91" s="262" t="s">
        <v>2616</v>
      </c>
      <c r="AP91" s="286" t="s">
        <v>2617</v>
      </c>
      <c r="AQ91" s="118" t="s">
        <v>2618</v>
      </c>
      <c r="AR91" s="286" t="s">
        <v>2619</v>
      </c>
      <c r="AS91" s="287">
        <v>25677.85</v>
      </c>
      <c r="AT91" s="287"/>
      <c r="AU91" s="288">
        <f>VLOOKUP(I91,DADOS!B:C,2,0)</f>
        <v>2381</v>
      </c>
      <c r="AV91" s="289">
        <f t="shared" si="7"/>
        <v>9920</v>
      </c>
      <c r="AW91" s="290">
        <v>0.165</v>
      </c>
      <c r="AX91" s="290"/>
      <c r="AY91" s="265"/>
      <c r="AZ91" s="291"/>
      <c r="BA91" s="292" t="s">
        <v>178</v>
      </c>
      <c r="BB91" s="293" t="s">
        <v>2620</v>
      </c>
      <c r="BC91" s="294"/>
      <c r="BD91" s="294"/>
      <c r="BE91" s="294"/>
      <c r="BF91" s="294"/>
      <c r="BG91" s="294">
        <f t="shared" si="8"/>
        <v>0</v>
      </c>
      <c r="BH91" s="294"/>
      <c r="BI91" s="324" t="s">
        <v>2617</v>
      </c>
      <c r="BJ91" s="424" t="s">
        <v>2621</v>
      </c>
      <c r="BK91" s="425" t="s">
        <v>102</v>
      </c>
      <c r="BL91" s="297"/>
      <c r="BM91" s="297"/>
      <c r="BN91" s="298"/>
      <c r="BO91" s="299"/>
      <c r="BP91" s="300"/>
      <c r="BQ91" s="300"/>
      <c r="BR91" s="300" t="str">
        <f t="shared" si="13"/>
        <v>#REF!</v>
      </c>
      <c r="BS91" s="300"/>
      <c r="BT91" s="300"/>
    </row>
    <row r="92" ht="31.5" customHeight="1">
      <c r="A92" s="437">
        <v>9.102137012E9</v>
      </c>
      <c r="B92" s="537" t="s">
        <v>2622</v>
      </c>
      <c r="C92" s="264" t="s">
        <v>93</v>
      </c>
      <c r="D92" s="264" t="s">
        <v>93</v>
      </c>
      <c r="E92" s="301" t="s">
        <v>2623</v>
      </c>
      <c r="F92" s="305" t="s">
        <v>211</v>
      </c>
      <c r="G92" s="266" t="s">
        <v>495</v>
      </c>
      <c r="H92" s="302"/>
      <c r="I92" s="268" t="s">
        <v>417</v>
      </c>
      <c r="J92" s="269" t="str">
        <f>VLOOKUP(I92,DADOS!B:F,5,0)</f>
        <v>GILVANDO RIOS DA CRUZ - NTS025538</v>
      </c>
      <c r="K92" s="270" t="s">
        <v>131</v>
      </c>
      <c r="L92" s="303" t="s">
        <v>4</v>
      </c>
      <c r="M92" s="262" t="s">
        <v>105</v>
      </c>
      <c r="N92" s="271"/>
      <c r="O92" s="272"/>
      <c r="P92" s="252">
        <v>46031.0</v>
      </c>
      <c r="Q92" s="351">
        <v>46035.0</v>
      </c>
      <c r="R92" s="271">
        <v>46041.0</v>
      </c>
      <c r="S92" s="254" t="s">
        <v>2624</v>
      </c>
      <c r="T92" s="274">
        <v>46063.0</v>
      </c>
      <c r="U92" s="275" t="s">
        <v>93</v>
      </c>
      <c r="V92" s="254" t="s">
        <v>2625</v>
      </c>
      <c r="W92" s="274">
        <v>46063.0</v>
      </c>
      <c r="X92" s="275" t="s">
        <v>93</v>
      </c>
      <c r="Y92" s="276"/>
      <c r="Z92" s="277"/>
      <c r="AA92" s="432" t="s">
        <v>2626</v>
      </c>
      <c r="AB92" s="321" t="s">
        <v>2627</v>
      </c>
      <c r="AC92" s="262">
        <f>4-1+3</f>
        <v>6</v>
      </c>
      <c r="AD92" s="262">
        <v>0.0</v>
      </c>
      <c r="AE92" s="262">
        <f>11+3+2</f>
        <v>16</v>
      </c>
      <c r="AF92" s="280">
        <v>16.0</v>
      </c>
      <c r="AG92" s="280">
        <v>16.0</v>
      </c>
      <c r="AH92" s="281">
        <f t="shared" si="5"/>
        <v>0</v>
      </c>
      <c r="AI92" s="282">
        <f t="shared" si="6"/>
        <v>1</v>
      </c>
      <c r="AJ92" s="283">
        <v>0.5</v>
      </c>
      <c r="AK92" s="271">
        <v>46041.0</v>
      </c>
      <c r="AL92" s="271">
        <v>46049.0</v>
      </c>
      <c r="AM92" s="284"/>
      <c r="AN92" s="285">
        <v>46051.0</v>
      </c>
      <c r="AO92" s="262" t="s">
        <v>2628</v>
      </c>
      <c r="AP92" s="294" t="s">
        <v>2629</v>
      </c>
      <c r="AQ92" s="118" t="s">
        <v>2630</v>
      </c>
      <c r="AR92" s="286" t="s">
        <v>2631</v>
      </c>
      <c r="AS92" s="287">
        <v>77586.48</v>
      </c>
      <c r="AT92" s="287"/>
      <c r="AU92" s="288">
        <f>VLOOKUP(I92,DADOS!B:C,2,0)</f>
        <v>2304</v>
      </c>
      <c r="AV92" s="289">
        <f t="shared" si="7"/>
        <v>39680</v>
      </c>
      <c r="AW92" s="290">
        <v>0.51</v>
      </c>
      <c r="AX92" s="290"/>
      <c r="AY92" s="265"/>
      <c r="AZ92" s="291"/>
      <c r="BA92" s="292" t="s">
        <v>985</v>
      </c>
      <c r="BB92" s="293" t="s">
        <v>2632</v>
      </c>
      <c r="BC92" s="294"/>
      <c r="BD92" s="294"/>
      <c r="BE92" s="294"/>
      <c r="BF92" s="294"/>
      <c r="BG92" s="294">
        <f t="shared" si="8"/>
        <v>0</v>
      </c>
      <c r="BH92" s="294"/>
      <c r="BI92" s="294" t="s">
        <v>2633</v>
      </c>
      <c r="BJ92" s="295" t="s">
        <v>2634</v>
      </c>
      <c r="BK92" s="425" t="s">
        <v>102</v>
      </c>
      <c r="BL92" s="297"/>
      <c r="BM92" s="297"/>
      <c r="BN92" s="298"/>
      <c r="BO92" s="299"/>
      <c r="BP92" s="300"/>
      <c r="BQ92" s="300"/>
      <c r="BR92" s="300" t="str">
        <f t="shared" si="13"/>
        <v>#REF!</v>
      </c>
      <c r="BS92" s="300"/>
      <c r="BT92" s="300"/>
    </row>
    <row r="93">
      <c r="A93" s="261">
        <v>9.102364662E9</v>
      </c>
      <c r="B93" s="537" t="s">
        <v>2635</v>
      </c>
      <c r="C93" s="264" t="s">
        <v>93</v>
      </c>
      <c r="D93" s="264" t="s">
        <v>93</v>
      </c>
      <c r="E93" s="265" t="s">
        <v>2636</v>
      </c>
      <c r="F93" s="305" t="s">
        <v>211</v>
      </c>
      <c r="G93" s="266" t="s">
        <v>495</v>
      </c>
      <c r="H93" s="267"/>
      <c r="I93" s="268" t="s">
        <v>682</v>
      </c>
      <c r="J93" s="269" t="str">
        <f>VLOOKUP(I93,DADOS!B:F,5,0)</f>
        <v>ETEMILSON OLIVEIRA SANTOS - NTS149530</v>
      </c>
      <c r="K93" s="270" t="s">
        <v>131</v>
      </c>
      <c r="L93" s="303" t="s">
        <v>4</v>
      </c>
      <c r="M93" s="262" t="s">
        <v>105</v>
      </c>
      <c r="N93" s="271"/>
      <c r="O93" s="272"/>
      <c r="P93" s="252">
        <v>46031.0</v>
      </c>
      <c r="Q93" s="351">
        <v>46035.0</v>
      </c>
      <c r="R93" s="271">
        <v>46041.0</v>
      </c>
      <c r="S93" s="275" t="s">
        <v>93</v>
      </c>
      <c r="T93" s="275" t="s">
        <v>93</v>
      </c>
      <c r="U93" s="275" t="s">
        <v>93</v>
      </c>
      <c r="V93" s="296" t="s">
        <v>2637</v>
      </c>
      <c r="W93" s="333">
        <v>46063.0</v>
      </c>
      <c r="X93" s="275" t="s">
        <v>93</v>
      </c>
      <c r="Y93" s="276"/>
      <c r="Z93" s="277"/>
      <c r="AA93" s="278" t="s">
        <v>2638</v>
      </c>
      <c r="AB93" s="304" t="s">
        <v>2639</v>
      </c>
      <c r="AC93" s="262">
        <v>1.0</v>
      </c>
      <c r="AD93" s="262">
        <v>0.0</v>
      </c>
      <c r="AE93" s="262">
        <v>7.0</v>
      </c>
      <c r="AF93" s="280">
        <v>7.0</v>
      </c>
      <c r="AG93" s="280">
        <v>7.0</v>
      </c>
      <c r="AH93" s="281">
        <f t="shared" si="5"/>
        <v>0</v>
      </c>
      <c r="AI93" s="282">
        <f t="shared" si="6"/>
        <v>1</v>
      </c>
      <c r="AJ93" s="283">
        <v>1.0</v>
      </c>
      <c r="AK93" s="271">
        <v>46044.0</v>
      </c>
      <c r="AL93" s="271">
        <v>46048.0</v>
      </c>
      <c r="AM93" s="284"/>
      <c r="AN93" s="285">
        <v>46043.0</v>
      </c>
      <c r="AO93" s="262" t="s">
        <v>2640</v>
      </c>
      <c r="AP93" s="294" t="s">
        <v>2641</v>
      </c>
      <c r="AQ93" s="118" t="s">
        <v>2642</v>
      </c>
      <c r="AR93" s="286" t="s">
        <v>2643</v>
      </c>
      <c r="AS93" s="287">
        <v>37979.72</v>
      </c>
      <c r="AT93" s="287"/>
      <c r="AU93" s="288">
        <f>VLOOKUP(I93,DADOS!B:C,2,0)</f>
        <v>2349</v>
      </c>
      <c r="AV93" s="289">
        <f t="shared" si="7"/>
        <v>17360</v>
      </c>
      <c r="AW93" s="290">
        <v>0.312</v>
      </c>
      <c r="AX93" s="290"/>
      <c r="AY93" s="265"/>
      <c r="AZ93" s="291"/>
      <c r="BA93" s="292" t="s">
        <v>254</v>
      </c>
      <c r="BB93" s="293" t="s">
        <v>2644</v>
      </c>
      <c r="BC93" s="294"/>
      <c r="BD93" s="294"/>
      <c r="BE93" s="294"/>
      <c r="BF93" s="294"/>
      <c r="BG93" s="294">
        <f t="shared" si="8"/>
        <v>0</v>
      </c>
      <c r="BH93" s="294"/>
      <c r="BI93" s="294" t="s">
        <v>2645</v>
      </c>
      <c r="BJ93" s="295" t="s">
        <v>2646</v>
      </c>
      <c r="BK93" s="425" t="s">
        <v>102</v>
      </c>
      <c r="BL93" s="297"/>
      <c r="BM93" s="297"/>
      <c r="BN93" s="298"/>
      <c r="BO93" s="299"/>
      <c r="BP93" s="300"/>
      <c r="BQ93" s="300"/>
      <c r="BR93" s="300" t="str">
        <f t="shared" si="13"/>
        <v>#REF!</v>
      </c>
      <c r="BS93" s="300"/>
      <c r="BT93" s="300"/>
    </row>
    <row r="94">
      <c r="A94" s="261">
        <v>9.102359737E9</v>
      </c>
      <c r="B94" s="537" t="s">
        <v>2647</v>
      </c>
      <c r="C94" s="264" t="s">
        <v>93</v>
      </c>
      <c r="D94" s="264" t="s">
        <v>93</v>
      </c>
      <c r="E94" s="265" t="s">
        <v>2648</v>
      </c>
      <c r="F94" s="305" t="s">
        <v>386</v>
      </c>
      <c r="G94" s="266" t="s">
        <v>495</v>
      </c>
      <c r="H94" s="302"/>
      <c r="I94" s="268" t="s">
        <v>496</v>
      </c>
      <c r="J94" s="269" t="str">
        <f>VLOOKUP(I94,DADOS!B:F,5,0)</f>
        <v>ETEMILSON OLIVEIRA SANTOS - NTS149530</v>
      </c>
      <c r="K94" s="270" t="s">
        <v>585</v>
      </c>
      <c r="L94" s="303" t="s">
        <v>4</v>
      </c>
      <c r="M94" s="262" t="s">
        <v>105</v>
      </c>
      <c r="N94" s="271"/>
      <c r="O94" s="272"/>
      <c r="P94" s="252">
        <v>46034.0</v>
      </c>
      <c r="Q94" s="351">
        <v>46035.0</v>
      </c>
      <c r="R94" s="271">
        <v>46038.0</v>
      </c>
      <c r="S94" s="275" t="s">
        <v>93</v>
      </c>
      <c r="T94" s="275" t="s">
        <v>93</v>
      </c>
      <c r="U94" s="275" t="s">
        <v>93</v>
      </c>
      <c r="V94" s="255" t="s">
        <v>2649</v>
      </c>
      <c r="W94" s="333">
        <v>46063.0</v>
      </c>
      <c r="X94" s="275" t="s">
        <v>93</v>
      </c>
      <c r="Y94" s="276"/>
      <c r="Z94" s="277"/>
      <c r="AA94" s="278"/>
      <c r="AB94" s="304" t="s">
        <v>2650</v>
      </c>
      <c r="AC94" s="262">
        <v>1.0</v>
      </c>
      <c r="AD94" s="262">
        <v>0.0</v>
      </c>
      <c r="AE94" s="262">
        <f>3-1</f>
        <v>2</v>
      </c>
      <c r="AF94" s="280">
        <v>2.0</v>
      </c>
      <c r="AG94" s="280">
        <v>2.0</v>
      </c>
      <c r="AH94" s="281">
        <f t="shared" si="5"/>
        <v>0</v>
      </c>
      <c r="AI94" s="282">
        <f t="shared" si="6"/>
        <v>1</v>
      </c>
      <c r="AJ94" s="283">
        <v>1.0</v>
      </c>
      <c r="AK94" s="271">
        <v>46043.0</v>
      </c>
      <c r="AL94" s="271">
        <v>46045.0</v>
      </c>
      <c r="AM94" s="284"/>
      <c r="AN94" s="285">
        <v>46039.0</v>
      </c>
      <c r="AO94" s="262" t="s">
        <v>2651</v>
      </c>
      <c r="AP94" s="294" t="s">
        <v>2652</v>
      </c>
      <c r="AQ94" s="394" t="s">
        <v>2653</v>
      </c>
      <c r="AR94" s="451" t="s">
        <v>2654</v>
      </c>
      <c r="AS94" s="287">
        <v>16917.89</v>
      </c>
      <c r="AT94" s="287"/>
      <c r="AU94" s="288">
        <f>VLOOKUP(I94,DADOS!B:C,2,0)</f>
        <v>2300</v>
      </c>
      <c r="AV94" s="289">
        <f t="shared" si="7"/>
        <v>4960</v>
      </c>
      <c r="AW94" s="290">
        <v>0.188</v>
      </c>
      <c r="AX94" s="290"/>
      <c r="AY94" s="265"/>
      <c r="AZ94" s="291"/>
      <c r="BA94" s="292" t="s">
        <v>1239</v>
      </c>
      <c r="BB94" s="293" t="s">
        <v>2655</v>
      </c>
      <c r="BC94" s="294"/>
      <c r="BD94" s="294"/>
      <c r="BE94" s="294"/>
      <c r="BF94" s="294"/>
      <c r="BG94" s="294">
        <f t="shared" si="8"/>
        <v>0</v>
      </c>
      <c r="BH94" s="294"/>
      <c r="BI94" s="294" t="s">
        <v>2656</v>
      </c>
      <c r="BJ94" s="295" t="s">
        <v>2657</v>
      </c>
      <c r="BK94" s="425" t="s">
        <v>102</v>
      </c>
      <c r="BL94" s="129"/>
      <c r="BM94" s="129"/>
      <c r="BN94" s="36"/>
      <c r="BO94" s="130"/>
      <c r="BP94" s="32"/>
      <c r="BQ94" s="32"/>
      <c r="BR94" s="300" t="str">
        <f t="shared" si="13"/>
        <v>#REF!</v>
      </c>
      <c r="BS94" s="300"/>
      <c r="BT94" s="300"/>
    </row>
    <row r="95">
      <c r="A95" s="261">
        <v>9.102360169E9</v>
      </c>
      <c r="B95" s="537" t="s">
        <v>2658</v>
      </c>
      <c r="C95" s="264" t="s">
        <v>93</v>
      </c>
      <c r="D95" s="264" t="s">
        <v>93</v>
      </c>
      <c r="E95" s="265" t="s">
        <v>2659</v>
      </c>
      <c r="F95" s="305" t="s">
        <v>386</v>
      </c>
      <c r="G95" s="266" t="s">
        <v>495</v>
      </c>
      <c r="H95" s="302"/>
      <c r="I95" s="268" t="s">
        <v>496</v>
      </c>
      <c r="J95" s="269" t="str">
        <f>VLOOKUP(I95,DADOS!B:F,5,0)</f>
        <v>ETEMILSON OLIVEIRA SANTOS - NTS149530</v>
      </c>
      <c r="K95" s="270" t="s">
        <v>585</v>
      </c>
      <c r="L95" s="303" t="s">
        <v>4</v>
      </c>
      <c r="M95" s="262" t="s">
        <v>105</v>
      </c>
      <c r="N95" s="271"/>
      <c r="O95" s="272"/>
      <c r="P95" s="252">
        <v>46034.0</v>
      </c>
      <c r="Q95" s="351">
        <v>46035.0</v>
      </c>
      <c r="R95" s="271">
        <v>46038.0</v>
      </c>
      <c r="S95" s="275" t="s">
        <v>93</v>
      </c>
      <c r="T95" s="274"/>
      <c r="U95" s="275" t="s">
        <v>93</v>
      </c>
      <c r="V95" s="255" t="s">
        <v>2660</v>
      </c>
      <c r="W95" s="333">
        <v>46063.0</v>
      </c>
      <c r="X95" s="275" t="s">
        <v>93</v>
      </c>
      <c r="Y95" s="276"/>
      <c r="Z95" s="277"/>
      <c r="AA95" s="278"/>
      <c r="AB95" s="304" t="s">
        <v>2661</v>
      </c>
      <c r="AC95" s="262">
        <v>1.0</v>
      </c>
      <c r="AD95" s="262">
        <v>0.0</v>
      </c>
      <c r="AE95" s="262">
        <v>2.0</v>
      </c>
      <c r="AF95" s="280">
        <v>2.0</v>
      </c>
      <c r="AG95" s="280">
        <v>2.0</v>
      </c>
      <c r="AH95" s="281">
        <f t="shared" si="5"/>
        <v>0</v>
      </c>
      <c r="AI95" s="282">
        <f t="shared" si="6"/>
        <v>1</v>
      </c>
      <c r="AJ95" s="283">
        <v>1.0</v>
      </c>
      <c r="AK95" s="271">
        <v>46043.0</v>
      </c>
      <c r="AL95" s="271">
        <v>46045.0</v>
      </c>
      <c r="AM95" s="284"/>
      <c r="AN95" s="285">
        <v>46039.0</v>
      </c>
      <c r="AO95" s="262" t="s">
        <v>2662</v>
      </c>
      <c r="AP95" s="294" t="s">
        <v>2663</v>
      </c>
      <c r="AQ95" s="394" t="s">
        <v>2664</v>
      </c>
      <c r="AR95" s="286" t="s">
        <v>2665</v>
      </c>
      <c r="AS95" s="287">
        <v>8967.77</v>
      </c>
      <c r="AT95" s="287"/>
      <c r="AU95" s="288">
        <f>VLOOKUP(I95,DADOS!B:C,2,0)</f>
        <v>2300</v>
      </c>
      <c r="AV95" s="289">
        <f t="shared" si="7"/>
        <v>4960</v>
      </c>
      <c r="AW95" s="290">
        <v>0.052</v>
      </c>
      <c r="AX95" s="290"/>
      <c r="AY95" s="265"/>
      <c r="AZ95" s="291"/>
      <c r="BA95" s="292" t="s">
        <v>1228</v>
      </c>
      <c r="BB95" s="293" t="s">
        <v>2666</v>
      </c>
      <c r="BC95" s="294"/>
      <c r="BD95" s="294"/>
      <c r="BE95" s="294"/>
      <c r="BF95" s="294"/>
      <c r="BG95" s="294">
        <f t="shared" si="8"/>
        <v>0</v>
      </c>
      <c r="BH95" s="294"/>
      <c r="BI95" s="294" t="s">
        <v>2667</v>
      </c>
      <c r="BJ95" s="295" t="s">
        <v>2668</v>
      </c>
      <c r="BK95" s="425" t="s">
        <v>102</v>
      </c>
      <c r="BL95" s="129"/>
      <c r="BM95" s="129"/>
      <c r="BN95" s="36"/>
      <c r="BO95" s="130"/>
      <c r="BP95" s="32"/>
      <c r="BQ95" s="32"/>
      <c r="BR95" s="300" t="str">
        <f t="shared" si="13"/>
        <v>#REF!</v>
      </c>
      <c r="BS95" s="32"/>
      <c r="BT95" s="32"/>
    </row>
    <row r="96">
      <c r="A96" s="261">
        <v>9.102366176E9</v>
      </c>
      <c r="B96" s="537" t="s">
        <v>2669</v>
      </c>
      <c r="C96" s="264" t="s">
        <v>93</v>
      </c>
      <c r="D96" s="264" t="s">
        <v>93</v>
      </c>
      <c r="E96" s="265" t="s">
        <v>2670</v>
      </c>
      <c r="F96" s="305" t="s">
        <v>861</v>
      </c>
      <c r="G96" s="266" t="s">
        <v>495</v>
      </c>
      <c r="H96" s="302"/>
      <c r="I96" s="268" t="s">
        <v>459</v>
      </c>
      <c r="J96" s="269" t="s">
        <v>634</v>
      </c>
      <c r="K96" s="270" t="s">
        <v>413</v>
      </c>
      <c r="L96" s="303" t="s">
        <v>4</v>
      </c>
      <c r="M96" s="262" t="s">
        <v>105</v>
      </c>
      <c r="N96" s="271"/>
      <c r="O96" s="272"/>
      <c r="P96" s="252">
        <v>46034.0</v>
      </c>
      <c r="Q96" s="351">
        <v>46035.0</v>
      </c>
      <c r="R96" s="271">
        <v>46041.0</v>
      </c>
      <c r="S96" s="275" t="s">
        <v>93</v>
      </c>
      <c r="T96" s="274"/>
      <c r="U96" s="275" t="s">
        <v>93</v>
      </c>
      <c r="V96" s="255" t="s">
        <v>2671</v>
      </c>
      <c r="W96" s="333">
        <v>46063.0</v>
      </c>
      <c r="X96" s="275" t="s">
        <v>93</v>
      </c>
      <c r="Y96" s="276"/>
      <c r="Z96" s="277"/>
      <c r="AA96" s="278"/>
      <c r="AB96" s="304" t="s">
        <v>2672</v>
      </c>
      <c r="AC96" s="262">
        <v>1.0</v>
      </c>
      <c r="AD96" s="262">
        <v>0.0</v>
      </c>
      <c r="AE96" s="262">
        <v>5.0</v>
      </c>
      <c r="AF96" s="280">
        <v>5.0</v>
      </c>
      <c r="AG96" s="280">
        <v>5.0</v>
      </c>
      <c r="AH96" s="281">
        <f t="shared" si="5"/>
        <v>0</v>
      </c>
      <c r="AI96" s="282">
        <f t="shared" si="6"/>
        <v>1</v>
      </c>
      <c r="AJ96" s="283">
        <v>1.0</v>
      </c>
      <c r="AK96" s="271">
        <v>46043.0</v>
      </c>
      <c r="AL96" s="271">
        <v>46048.0</v>
      </c>
      <c r="AM96" s="284"/>
      <c r="AN96" s="285">
        <v>46042.0</v>
      </c>
      <c r="AO96" s="262" t="s">
        <v>2673</v>
      </c>
      <c r="AP96" s="294" t="s">
        <v>2674</v>
      </c>
      <c r="AQ96" s="118" t="s">
        <v>2675</v>
      </c>
      <c r="AR96" s="286" t="s">
        <v>2676</v>
      </c>
      <c r="AS96" s="287">
        <v>31107.51</v>
      </c>
      <c r="AT96" s="287"/>
      <c r="AU96" s="288">
        <f>VLOOKUP(I96,DADOS!B:C,2,0)</f>
        <v>2326</v>
      </c>
      <c r="AV96" s="289">
        <f t="shared" si="7"/>
        <v>12400</v>
      </c>
      <c r="AW96" s="290">
        <v>0.25</v>
      </c>
      <c r="AX96" s="290"/>
      <c r="AY96" s="265"/>
      <c r="AZ96" s="291"/>
      <c r="BA96" s="292" t="s">
        <v>868</v>
      </c>
      <c r="BB96" s="293" t="s">
        <v>2677</v>
      </c>
      <c r="BC96" s="294"/>
      <c r="BD96" s="294"/>
      <c r="BE96" s="294"/>
      <c r="BF96" s="294"/>
      <c r="BG96" s="294">
        <f t="shared" si="8"/>
        <v>0</v>
      </c>
      <c r="BH96" s="294"/>
      <c r="BI96" s="294" t="s">
        <v>2678</v>
      </c>
      <c r="BJ96" s="295" t="s">
        <v>2679</v>
      </c>
      <c r="BK96" s="425" t="s">
        <v>102</v>
      </c>
      <c r="BL96" s="129"/>
      <c r="BM96" s="129"/>
      <c r="BN96" s="36"/>
      <c r="BO96" s="130"/>
      <c r="BP96" s="32"/>
      <c r="BQ96" s="32"/>
      <c r="BR96" s="300" t="str">
        <f t="shared" si="13"/>
        <v>#REF!</v>
      </c>
      <c r="BS96" s="131"/>
      <c r="BT96" s="131"/>
    </row>
    <row r="97">
      <c r="A97" s="261">
        <v>9.102363117E9</v>
      </c>
      <c r="B97" s="537" t="s">
        <v>2680</v>
      </c>
      <c r="C97" s="264" t="s">
        <v>93</v>
      </c>
      <c r="D97" s="264" t="s">
        <v>93</v>
      </c>
      <c r="E97" s="265" t="s">
        <v>2681</v>
      </c>
      <c r="F97" s="305" t="s">
        <v>129</v>
      </c>
      <c r="G97" s="266" t="s">
        <v>495</v>
      </c>
      <c r="H97" s="302"/>
      <c r="I97" s="268" t="s">
        <v>412</v>
      </c>
      <c r="J97" s="269" t="str">
        <f>VLOOKUP(I97,DADOS!B:F,5,0)</f>
        <v>ETEMILSON OLIVEIRA SANTOS - NTS149530</v>
      </c>
      <c r="K97" s="270" t="s">
        <v>608</v>
      </c>
      <c r="L97" s="303" t="s">
        <v>4</v>
      </c>
      <c r="M97" s="262" t="s">
        <v>105</v>
      </c>
      <c r="N97" s="271"/>
      <c r="O97" s="272"/>
      <c r="P97" s="252">
        <v>46034.0</v>
      </c>
      <c r="Q97" s="351">
        <v>46035.0</v>
      </c>
      <c r="R97" s="271">
        <v>46038.0</v>
      </c>
      <c r="S97" s="254" t="s">
        <v>2682</v>
      </c>
      <c r="T97" s="274">
        <v>46063.0</v>
      </c>
      <c r="U97" s="275" t="s">
        <v>93</v>
      </c>
      <c r="V97" s="475" t="str">
        <f>S97</f>
        <v>2026-3907</v>
      </c>
      <c r="W97" s="274">
        <v>46063.0</v>
      </c>
      <c r="X97" s="275" t="s">
        <v>93</v>
      </c>
      <c r="Y97" s="276"/>
      <c r="Z97" s="277"/>
      <c r="AA97" s="278" t="s">
        <v>2683</v>
      </c>
      <c r="AB97" s="279" t="s">
        <v>2684</v>
      </c>
      <c r="AC97" s="262">
        <v>1.0</v>
      </c>
      <c r="AD97" s="262">
        <v>0.0</v>
      </c>
      <c r="AE97" s="262">
        <v>13.0</v>
      </c>
      <c r="AF97" s="280">
        <v>13.0</v>
      </c>
      <c r="AG97" s="280">
        <v>13.0</v>
      </c>
      <c r="AH97" s="281">
        <f t="shared" si="5"/>
        <v>0</v>
      </c>
      <c r="AI97" s="282">
        <f t="shared" si="6"/>
        <v>1</v>
      </c>
      <c r="AJ97" s="283">
        <v>1.0</v>
      </c>
      <c r="AK97" s="271">
        <v>46041.0</v>
      </c>
      <c r="AL97" s="271">
        <v>46049.0</v>
      </c>
      <c r="AM97" s="311" t="s">
        <v>2297</v>
      </c>
      <c r="AN97" s="285">
        <v>46050.0</v>
      </c>
      <c r="AO97" s="262" t="s">
        <v>2685</v>
      </c>
      <c r="AP97" s="294" t="s">
        <v>2686</v>
      </c>
      <c r="AQ97" s="118" t="s">
        <v>2687</v>
      </c>
      <c r="AR97" s="286" t="s">
        <v>2688</v>
      </c>
      <c r="AS97" s="287">
        <v>139354.15</v>
      </c>
      <c r="AT97" s="287"/>
      <c r="AU97" s="288">
        <f>VLOOKUP(I97,DADOS!B:C,2,0)</f>
        <v>2332</v>
      </c>
      <c r="AV97" s="289">
        <f t="shared" si="7"/>
        <v>32240</v>
      </c>
      <c r="AW97" s="290" t="s">
        <v>93</v>
      </c>
      <c r="AX97" s="290" t="s">
        <v>93</v>
      </c>
      <c r="AY97" s="265"/>
      <c r="AZ97" s="291"/>
      <c r="BA97" s="292" t="s">
        <v>178</v>
      </c>
      <c r="BB97" s="293" t="s">
        <v>2689</v>
      </c>
      <c r="BC97" s="294"/>
      <c r="BD97" s="294"/>
      <c r="BE97" s="294"/>
      <c r="BF97" s="294"/>
      <c r="BG97" s="294">
        <f t="shared" si="8"/>
        <v>0</v>
      </c>
      <c r="BH97" s="294"/>
      <c r="BI97" s="294" t="s">
        <v>2686</v>
      </c>
      <c r="BJ97" s="295" t="s">
        <v>2690</v>
      </c>
      <c r="BK97" s="425" t="s">
        <v>102</v>
      </c>
      <c r="BL97" s="297"/>
      <c r="BM97" s="297"/>
      <c r="BN97" s="298"/>
      <c r="BO97" s="299" t="s">
        <v>2691</v>
      </c>
      <c r="BP97" s="300"/>
      <c r="BQ97" s="300"/>
      <c r="BR97" s="300" t="str">
        <f t="shared" si="13"/>
        <v>#REF!</v>
      </c>
      <c r="BS97" s="300"/>
      <c r="BT97" s="300"/>
    </row>
    <row r="98">
      <c r="A98" s="261">
        <v>9.10235773E9</v>
      </c>
      <c r="B98" s="537" t="s">
        <v>2692</v>
      </c>
      <c r="C98" s="264" t="s">
        <v>93</v>
      </c>
      <c r="D98" s="264" t="s">
        <v>93</v>
      </c>
      <c r="E98" s="301" t="s">
        <v>2693</v>
      </c>
      <c r="F98" s="305" t="s">
        <v>211</v>
      </c>
      <c r="G98" s="266" t="s">
        <v>495</v>
      </c>
      <c r="H98" s="302"/>
      <c r="I98" s="268" t="s">
        <v>417</v>
      </c>
      <c r="J98" s="269" t="str">
        <f>VLOOKUP(I98,DADOS!B:F,5,0)</f>
        <v>GILVANDO RIOS DA CRUZ - NTS025538</v>
      </c>
      <c r="K98" s="270" t="s">
        <v>131</v>
      </c>
      <c r="L98" s="303" t="s">
        <v>4</v>
      </c>
      <c r="M98" s="262" t="s">
        <v>105</v>
      </c>
      <c r="N98" s="271"/>
      <c r="O98" s="272"/>
      <c r="P98" s="252">
        <v>46034.0</v>
      </c>
      <c r="Q98" s="351">
        <v>46035.0</v>
      </c>
      <c r="R98" s="271">
        <v>46041.0</v>
      </c>
      <c r="S98" s="275" t="s">
        <v>93</v>
      </c>
      <c r="T98" s="275" t="s">
        <v>93</v>
      </c>
      <c r="U98" s="275" t="s">
        <v>93</v>
      </c>
      <c r="V98" s="255" t="s">
        <v>2694</v>
      </c>
      <c r="W98" s="333">
        <v>46063.0</v>
      </c>
      <c r="X98" s="275" t="s">
        <v>93</v>
      </c>
      <c r="Y98" s="276"/>
      <c r="Z98" s="277"/>
      <c r="AA98" s="278"/>
      <c r="AB98" s="304" t="s">
        <v>2695</v>
      </c>
      <c r="AC98" s="262">
        <v>1.0</v>
      </c>
      <c r="AD98" s="262">
        <v>0.0</v>
      </c>
      <c r="AE98" s="262">
        <v>4.0</v>
      </c>
      <c r="AF98" s="280">
        <v>4.0</v>
      </c>
      <c r="AG98" s="280">
        <v>4.0</v>
      </c>
      <c r="AH98" s="281">
        <f t="shared" si="5"/>
        <v>0</v>
      </c>
      <c r="AI98" s="282">
        <f t="shared" si="6"/>
        <v>1</v>
      </c>
      <c r="AJ98" s="283">
        <v>1.0</v>
      </c>
      <c r="AK98" s="271">
        <v>46042.0</v>
      </c>
      <c r="AL98" s="271">
        <v>46042.0</v>
      </c>
      <c r="AM98" s="284"/>
      <c r="AN98" s="285">
        <v>46052.0</v>
      </c>
      <c r="AO98" s="262" t="s">
        <v>2696</v>
      </c>
      <c r="AP98" s="294" t="s">
        <v>2697</v>
      </c>
      <c r="AQ98" s="118" t="s">
        <v>2698</v>
      </c>
      <c r="AR98" s="286" t="s">
        <v>2699</v>
      </c>
      <c r="AS98" s="287">
        <v>27571.73</v>
      </c>
      <c r="AT98" s="287"/>
      <c r="AU98" s="288">
        <f>VLOOKUP(I98,DADOS!B:C,2,0)</f>
        <v>2304</v>
      </c>
      <c r="AV98" s="289">
        <f t="shared" si="7"/>
        <v>9920</v>
      </c>
      <c r="AW98" s="290">
        <v>0.25</v>
      </c>
      <c r="AX98" s="290"/>
      <c r="AY98" s="265"/>
      <c r="AZ98" s="291"/>
      <c r="BA98" s="292" t="s">
        <v>1552</v>
      </c>
      <c r="BB98" s="293" t="s">
        <v>2700</v>
      </c>
      <c r="BC98" s="294"/>
      <c r="BD98" s="294"/>
      <c r="BE98" s="294"/>
      <c r="BF98" s="294"/>
      <c r="BG98" s="294">
        <f t="shared" si="8"/>
        <v>0</v>
      </c>
      <c r="BH98" s="294"/>
      <c r="BI98" s="294" t="s">
        <v>2701</v>
      </c>
      <c r="BJ98" s="295" t="s">
        <v>2702</v>
      </c>
      <c r="BK98" s="425" t="s">
        <v>102</v>
      </c>
      <c r="BL98" s="297"/>
      <c r="BM98" s="297"/>
      <c r="BN98" s="298"/>
      <c r="BO98" s="299"/>
      <c r="BP98" s="300"/>
      <c r="BQ98" s="300"/>
      <c r="BR98" s="300" t="str">
        <f t="shared" si="13"/>
        <v>#REF!</v>
      </c>
      <c r="BS98" s="300"/>
      <c r="BT98" s="300"/>
    </row>
    <row r="99">
      <c r="A99" s="261">
        <v>9.102361229E9</v>
      </c>
      <c r="B99" s="537" t="s">
        <v>2703</v>
      </c>
      <c r="C99" s="264" t="s">
        <v>93</v>
      </c>
      <c r="D99" s="264" t="s">
        <v>93</v>
      </c>
      <c r="E99" s="265" t="s">
        <v>2704</v>
      </c>
      <c r="F99" s="305" t="s">
        <v>540</v>
      </c>
      <c r="G99" s="266" t="s">
        <v>495</v>
      </c>
      <c r="H99" s="302"/>
      <c r="I99" s="268" t="s">
        <v>584</v>
      </c>
      <c r="J99" s="269" t="str">
        <f>VLOOKUP(I99,DADOS!B:F,5,0)</f>
        <v>GILVANDO RIOS DA CRUZ - NTS025538</v>
      </c>
      <c r="K99" s="270" t="s">
        <v>585</v>
      </c>
      <c r="L99" s="303" t="s">
        <v>4</v>
      </c>
      <c r="M99" s="262" t="s">
        <v>105</v>
      </c>
      <c r="N99" s="271"/>
      <c r="O99" s="272"/>
      <c r="P99" s="252">
        <v>46034.0</v>
      </c>
      <c r="Q99" s="351">
        <v>46035.0</v>
      </c>
      <c r="R99" s="271">
        <v>46041.0</v>
      </c>
      <c r="S99" s="254" t="s">
        <v>2705</v>
      </c>
      <c r="T99" s="274">
        <v>46063.0</v>
      </c>
      <c r="U99" s="275" t="s">
        <v>93</v>
      </c>
      <c r="V99" s="254" t="s">
        <v>2706</v>
      </c>
      <c r="W99" s="274">
        <v>46063.0</v>
      </c>
      <c r="X99" s="275" t="s">
        <v>93</v>
      </c>
      <c r="Y99" s="276"/>
      <c r="Z99" s="277"/>
      <c r="AA99" s="278"/>
      <c r="AB99" s="304" t="s">
        <v>2707</v>
      </c>
      <c r="AC99" s="262">
        <v>1.0</v>
      </c>
      <c r="AD99" s="262">
        <v>0.0</v>
      </c>
      <c r="AE99" s="262">
        <v>1.0</v>
      </c>
      <c r="AF99" s="280">
        <v>1.0</v>
      </c>
      <c r="AG99" s="280">
        <v>1.0</v>
      </c>
      <c r="AH99" s="281">
        <f t="shared" si="5"/>
        <v>0</v>
      </c>
      <c r="AI99" s="282">
        <f t="shared" si="6"/>
        <v>1</v>
      </c>
      <c r="AJ99" s="283">
        <v>1.0</v>
      </c>
      <c r="AK99" s="271">
        <v>46042.0</v>
      </c>
      <c r="AL99" s="271">
        <v>46045.0</v>
      </c>
      <c r="AM99" s="284"/>
      <c r="AN99" s="285">
        <v>46050.0</v>
      </c>
      <c r="AO99" s="262" t="s">
        <v>2708</v>
      </c>
      <c r="AP99" s="294" t="s">
        <v>2709</v>
      </c>
      <c r="AQ99" s="118" t="s">
        <v>2710</v>
      </c>
      <c r="AR99" s="286" t="s">
        <v>2711</v>
      </c>
      <c r="AS99" s="287">
        <v>16337.46</v>
      </c>
      <c r="AT99" s="287"/>
      <c r="AU99" s="288">
        <f>VLOOKUP(I99,DADOS!B:C,2,0)</f>
        <v>2381</v>
      </c>
      <c r="AV99" s="289">
        <f t="shared" si="7"/>
        <v>2480</v>
      </c>
      <c r="AW99" s="290" t="s">
        <v>93</v>
      </c>
      <c r="AX99" s="290" t="s">
        <v>93</v>
      </c>
      <c r="AY99" s="265"/>
      <c r="AZ99" s="291"/>
      <c r="BA99" s="292" t="s">
        <v>506</v>
      </c>
      <c r="BB99" s="293" t="s">
        <v>2712</v>
      </c>
      <c r="BC99" s="294"/>
      <c r="BD99" s="294"/>
      <c r="BE99" s="294"/>
      <c r="BF99" s="294"/>
      <c r="BG99" s="294">
        <f t="shared" si="8"/>
        <v>0</v>
      </c>
      <c r="BH99" s="294"/>
      <c r="BI99" s="294" t="s">
        <v>2713</v>
      </c>
      <c r="BJ99" s="295" t="s">
        <v>2714</v>
      </c>
      <c r="BK99" s="425" t="s">
        <v>102</v>
      </c>
      <c r="BL99" s="297"/>
      <c r="BM99" s="297"/>
      <c r="BN99" s="298"/>
      <c r="BO99" s="299" t="s">
        <v>2715</v>
      </c>
      <c r="BP99" s="300"/>
      <c r="BQ99" s="300"/>
      <c r="BR99" s="300" t="str">
        <f t="shared" si="13"/>
        <v>#REF!</v>
      </c>
      <c r="BS99" s="300"/>
      <c r="BT99" s="300"/>
    </row>
    <row r="100">
      <c r="A100" s="261">
        <v>9.102356289E9</v>
      </c>
      <c r="B100" s="537" t="s">
        <v>2716</v>
      </c>
      <c r="C100" s="264" t="s">
        <v>93</v>
      </c>
      <c r="D100" s="264" t="s">
        <v>93</v>
      </c>
      <c r="E100" s="301" t="s">
        <v>2717</v>
      </c>
      <c r="F100" s="305" t="s">
        <v>861</v>
      </c>
      <c r="G100" s="266" t="s">
        <v>495</v>
      </c>
      <c r="H100" s="302"/>
      <c r="I100" s="268" t="s">
        <v>459</v>
      </c>
      <c r="J100" s="269" t="s">
        <v>634</v>
      </c>
      <c r="K100" s="270" t="s">
        <v>413</v>
      </c>
      <c r="L100" s="303" t="s">
        <v>4</v>
      </c>
      <c r="M100" s="262" t="s">
        <v>105</v>
      </c>
      <c r="N100" s="271"/>
      <c r="O100" s="272"/>
      <c r="P100" s="252">
        <v>46035.0</v>
      </c>
      <c r="Q100" s="351">
        <v>46035.0</v>
      </c>
      <c r="R100" s="271">
        <v>46041.0</v>
      </c>
      <c r="S100" s="275" t="s">
        <v>93</v>
      </c>
      <c r="T100" s="275" t="s">
        <v>93</v>
      </c>
      <c r="U100" s="275" t="s">
        <v>93</v>
      </c>
      <c r="V100" s="255" t="s">
        <v>2718</v>
      </c>
      <c r="W100" s="333">
        <v>46063.0</v>
      </c>
      <c r="X100" s="275" t="s">
        <v>93</v>
      </c>
      <c r="Y100" s="276"/>
      <c r="Z100" s="277"/>
      <c r="AA100" s="278"/>
      <c r="AB100" s="304" t="s">
        <v>2719</v>
      </c>
      <c r="AC100" s="262">
        <v>1.0</v>
      </c>
      <c r="AD100" s="262">
        <v>0.0</v>
      </c>
      <c r="AE100" s="262">
        <v>1.0</v>
      </c>
      <c r="AF100" s="280">
        <v>1.0</v>
      </c>
      <c r="AG100" s="280">
        <v>1.0</v>
      </c>
      <c r="AH100" s="281">
        <f t="shared" si="5"/>
        <v>0</v>
      </c>
      <c r="AI100" s="282">
        <f t="shared" si="6"/>
        <v>1</v>
      </c>
      <c r="AJ100" s="283">
        <v>1.0</v>
      </c>
      <c r="AK100" s="271">
        <v>46043.0</v>
      </c>
      <c r="AL100" s="271">
        <v>46048.0</v>
      </c>
      <c r="AM100" s="284"/>
      <c r="AN100" s="285">
        <v>46048.0</v>
      </c>
      <c r="AO100" s="262" t="s">
        <v>2720</v>
      </c>
      <c r="AP100" s="294" t="s">
        <v>2721</v>
      </c>
      <c r="AQ100" s="118" t="s">
        <v>2722</v>
      </c>
      <c r="AR100" s="286" t="s">
        <v>2723</v>
      </c>
      <c r="AS100" s="287">
        <v>9318.52</v>
      </c>
      <c r="AT100" s="287"/>
      <c r="AU100" s="288">
        <f>VLOOKUP(I100,DADOS!B:C,2,0)</f>
        <v>2326</v>
      </c>
      <c r="AV100" s="289">
        <f t="shared" si="7"/>
        <v>2480</v>
      </c>
      <c r="AW100" s="290">
        <v>0.062</v>
      </c>
      <c r="AX100" s="290"/>
      <c r="AY100" s="265"/>
      <c r="AZ100" s="291"/>
      <c r="BA100" s="292" t="s">
        <v>690</v>
      </c>
      <c r="BB100" s="293" t="s">
        <v>2724</v>
      </c>
      <c r="BC100" s="294"/>
      <c r="BD100" s="294"/>
      <c r="BE100" s="294"/>
      <c r="BF100" s="294"/>
      <c r="BG100" s="294">
        <f t="shared" si="8"/>
        <v>0</v>
      </c>
      <c r="BH100" s="294"/>
      <c r="BI100" s="294" t="s">
        <v>2725</v>
      </c>
      <c r="BJ100" s="295" t="s">
        <v>2726</v>
      </c>
      <c r="BK100" s="425" t="s">
        <v>102</v>
      </c>
      <c r="BL100" s="297"/>
      <c r="BM100" s="297"/>
      <c r="BN100" s="298"/>
      <c r="BO100" s="299"/>
      <c r="BP100" s="300"/>
      <c r="BQ100" s="300"/>
      <c r="BR100" s="300" t="str">
        <f t="shared" si="13"/>
        <v>#REF!</v>
      </c>
      <c r="BS100" s="32"/>
      <c r="BT100" s="32"/>
    </row>
    <row r="101">
      <c r="A101" s="261">
        <v>9.102368709E9</v>
      </c>
      <c r="B101" s="537" t="s">
        <v>2727</v>
      </c>
      <c r="C101" s="264" t="s">
        <v>93</v>
      </c>
      <c r="D101" s="264" t="s">
        <v>93</v>
      </c>
      <c r="E101" s="497" t="s">
        <v>2728</v>
      </c>
      <c r="F101" s="305" t="s">
        <v>494</v>
      </c>
      <c r="G101" s="266" t="s">
        <v>495</v>
      </c>
      <c r="H101" s="302"/>
      <c r="I101" s="268" t="s">
        <v>584</v>
      </c>
      <c r="J101" s="269" t="str">
        <f>VLOOKUP(I101,DADOS!B:F,5,0)</f>
        <v>GILVANDO RIOS DA CRUZ - NTS025538</v>
      </c>
      <c r="K101" s="270" t="s">
        <v>585</v>
      </c>
      <c r="L101" s="303" t="s">
        <v>4</v>
      </c>
      <c r="M101" s="262" t="s">
        <v>105</v>
      </c>
      <c r="N101" s="271"/>
      <c r="O101" s="272"/>
      <c r="P101" s="252">
        <v>46035.0</v>
      </c>
      <c r="Q101" s="351">
        <v>46035.0</v>
      </c>
      <c r="R101" s="271">
        <v>46041.0</v>
      </c>
      <c r="S101" s="275" t="s">
        <v>93</v>
      </c>
      <c r="T101" s="275" t="s">
        <v>93</v>
      </c>
      <c r="U101" s="275" t="s">
        <v>93</v>
      </c>
      <c r="V101" s="255" t="s">
        <v>2729</v>
      </c>
      <c r="W101" s="333">
        <v>46063.0</v>
      </c>
      <c r="X101" s="275" t="s">
        <v>93</v>
      </c>
      <c r="Y101" s="276"/>
      <c r="Z101" s="277"/>
      <c r="AA101" s="278"/>
      <c r="AB101" s="304" t="s">
        <v>2730</v>
      </c>
      <c r="AC101" s="262">
        <v>1.0</v>
      </c>
      <c r="AD101" s="262">
        <v>0.0</v>
      </c>
      <c r="AE101" s="262">
        <v>4.0</v>
      </c>
      <c r="AF101" s="280">
        <v>4.0</v>
      </c>
      <c r="AG101" s="280">
        <v>4.0</v>
      </c>
      <c r="AH101" s="281">
        <f t="shared" si="5"/>
        <v>0</v>
      </c>
      <c r="AI101" s="282">
        <f t="shared" si="6"/>
        <v>1</v>
      </c>
      <c r="AJ101" s="283">
        <v>1.0</v>
      </c>
      <c r="AK101" s="271">
        <v>46041.0</v>
      </c>
      <c r="AL101" s="271">
        <v>46045.0</v>
      </c>
      <c r="AM101" s="284"/>
      <c r="AN101" s="285">
        <v>46051.0</v>
      </c>
      <c r="AO101" s="262" t="s">
        <v>2731</v>
      </c>
      <c r="AP101" s="294" t="s">
        <v>2732</v>
      </c>
      <c r="AQ101" s="118" t="s">
        <v>2733</v>
      </c>
      <c r="AR101" s="286" t="s">
        <v>2734</v>
      </c>
      <c r="AS101" s="287">
        <v>20747.15</v>
      </c>
      <c r="AT101" s="287"/>
      <c r="AU101" s="288">
        <f>VLOOKUP(I101,DADOS!B:C,2,0)</f>
        <v>2381</v>
      </c>
      <c r="AV101" s="289">
        <f t="shared" si="7"/>
        <v>9920</v>
      </c>
      <c r="AW101" s="290">
        <v>0.23</v>
      </c>
      <c r="AX101" s="290"/>
      <c r="AY101" s="265"/>
      <c r="AZ101" s="291"/>
      <c r="BA101" s="292" t="s">
        <v>616</v>
      </c>
      <c r="BB101" s="293" t="s">
        <v>2735</v>
      </c>
      <c r="BC101" s="294"/>
      <c r="BD101" s="294"/>
      <c r="BE101" s="294"/>
      <c r="BF101" s="294"/>
      <c r="BG101" s="294">
        <f t="shared" si="8"/>
        <v>0</v>
      </c>
      <c r="BH101" s="294"/>
      <c r="BI101" s="294" t="s">
        <v>2736</v>
      </c>
      <c r="BJ101" s="295" t="s">
        <v>2737</v>
      </c>
      <c r="BK101" s="425" t="s">
        <v>102</v>
      </c>
      <c r="BL101" s="297"/>
      <c r="BM101" s="297"/>
      <c r="BN101" s="298"/>
      <c r="BO101" s="299"/>
      <c r="BP101" s="300"/>
      <c r="BQ101" s="300"/>
      <c r="BR101" s="300" t="str">
        <f t="shared" si="13"/>
        <v>#REF!</v>
      </c>
      <c r="BS101" s="300"/>
      <c r="BT101" s="300"/>
    </row>
    <row r="102">
      <c r="A102" s="261">
        <v>9.102366749E9</v>
      </c>
      <c r="B102" s="537" t="s">
        <v>2738</v>
      </c>
      <c r="C102" s="264" t="s">
        <v>93</v>
      </c>
      <c r="D102" s="264" t="s">
        <v>93</v>
      </c>
      <c r="E102" s="265" t="s">
        <v>2739</v>
      </c>
      <c r="F102" s="305" t="s">
        <v>583</v>
      </c>
      <c r="G102" s="266" t="s">
        <v>495</v>
      </c>
      <c r="H102" s="302"/>
      <c r="I102" s="268" t="s">
        <v>584</v>
      </c>
      <c r="J102" s="269" t="str">
        <f>VLOOKUP(I102,DADOS!B:F,5,0)</f>
        <v>GILVANDO RIOS DA CRUZ - NTS025538</v>
      </c>
      <c r="K102" s="270" t="s">
        <v>413</v>
      </c>
      <c r="L102" s="303" t="s">
        <v>4</v>
      </c>
      <c r="M102" s="484" t="s">
        <v>105</v>
      </c>
      <c r="N102" s="271"/>
      <c r="O102" s="272"/>
      <c r="P102" s="252">
        <v>46035.0</v>
      </c>
      <c r="Q102" s="351">
        <v>46035.0</v>
      </c>
      <c r="R102" s="271">
        <v>46041.0</v>
      </c>
      <c r="S102" s="254" t="s">
        <v>2740</v>
      </c>
      <c r="T102" s="274">
        <v>46063.0</v>
      </c>
      <c r="U102" s="275" t="s">
        <v>93</v>
      </c>
      <c r="V102" s="475" t="s">
        <v>2741</v>
      </c>
      <c r="W102" s="274">
        <v>46063.0</v>
      </c>
      <c r="X102" s="275" t="s">
        <v>93</v>
      </c>
      <c r="Y102" s="276"/>
      <c r="Z102" s="277"/>
      <c r="AA102" s="278"/>
      <c r="AB102" s="304" t="s">
        <v>2742</v>
      </c>
      <c r="AC102" s="262">
        <v>1.0</v>
      </c>
      <c r="AD102" s="262">
        <v>0.0</v>
      </c>
      <c r="AE102" s="262">
        <v>2.0</v>
      </c>
      <c r="AF102" s="280">
        <v>2.0</v>
      </c>
      <c r="AG102" s="280">
        <v>2.0</v>
      </c>
      <c r="AH102" s="281">
        <f t="shared" si="5"/>
        <v>0</v>
      </c>
      <c r="AI102" s="282">
        <f t="shared" si="6"/>
        <v>1</v>
      </c>
      <c r="AJ102" s="283">
        <v>1.0</v>
      </c>
      <c r="AK102" s="271">
        <v>46043.0</v>
      </c>
      <c r="AL102" s="271">
        <v>46045.0</v>
      </c>
      <c r="AM102" s="284"/>
      <c r="AN102" s="285">
        <v>46045.0</v>
      </c>
      <c r="AO102" s="262" t="s">
        <v>2743</v>
      </c>
      <c r="AP102" s="294" t="s">
        <v>2744</v>
      </c>
      <c r="AQ102" s="118" t="s">
        <v>2745</v>
      </c>
      <c r="AR102" s="286" t="s">
        <v>2746</v>
      </c>
      <c r="AS102" s="287">
        <v>15035.84</v>
      </c>
      <c r="AT102" s="287"/>
      <c r="AU102" s="288">
        <f>VLOOKUP(I102,DADOS!B:C,2,0)</f>
        <v>2381</v>
      </c>
      <c r="AV102" s="289">
        <f t="shared" si="7"/>
        <v>4960</v>
      </c>
      <c r="AW102" s="290">
        <v>0.229</v>
      </c>
      <c r="AX102" s="290"/>
      <c r="AY102" s="265"/>
      <c r="AZ102" s="291"/>
      <c r="BA102" s="292" t="s">
        <v>592</v>
      </c>
      <c r="BB102" s="293" t="s">
        <v>2747</v>
      </c>
      <c r="BC102" s="294"/>
      <c r="BD102" s="294"/>
      <c r="BE102" s="294"/>
      <c r="BF102" s="294"/>
      <c r="BG102" s="294">
        <f t="shared" si="8"/>
        <v>0</v>
      </c>
      <c r="BH102" s="294"/>
      <c r="BI102" s="294" t="s">
        <v>2748</v>
      </c>
      <c r="BJ102" s="295" t="s">
        <v>2749</v>
      </c>
      <c r="BK102" s="425" t="s">
        <v>102</v>
      </c>
      <c r="BL102" s="129"/>
      <c r="BM102" s="129"/>
      <c r="BN102" s="36"/>
      <c r="BO102" s="130"/>
      <c r="BP102" s="32"/>
      <c r="BQ102" s="32"/>
      <c r="BR102" s="300" t="str">
        <f t="shared" si="13"/>
        <v>#REF!</v>
      </c>
      <c r="BS102" s="300"/>
      <c r="BT102" s="300"/>
    </row>
    <row r="103">
      <c r="A103" s="437">
        <v>9.102374034E9</v>
      </c>
      <c r="B103" s="537" t="s">
        <v>2750</v>
      </c>
      <c r="C103" s="264" t="s">
        <v>93</v>
      </c>
      <c r="D103" s="264" t="s">
        <v>93</v>
      </c>
      <c r="E103" s="265" t="s">
        <v>2751</v>
      </c>
      <c r="F103" s="305" t="s">
        <v>583</v>
      </c>
      <c r="G103" s="266" t="s">
        <v>495</v>
      </c>
      <c r="H103" s="302"/>
      <c r="I103" s="268" t="s">
        <v>584</v>
      </c>
      <c r="J103" s="269" t="str">
        <f>VLOOKUP(I103,DADOS!B:F,5,0)</f>
        <v>GILVANDO RIOS DA CRUZ - NTS025538</v>
      </c>
      <c r="K103" s="270" t="s">
        <v>413</v>
      </c>
      <c r="L103" s="303" t="s">
        <v>4</v>
      </c>
      <c r="M103" s="262" t="s">
        <v>105</v>
      </c>
      <c r="N103" s="271"/>
      <c r="O103" s="272"/>
      <c r="P103" s="252">
        <v>46035.0</v>
      </c>
      <c r="Q103" s="351">
        <v>46035.0</v>
      </c>
      <c r="R103" s="271">
        <v>46041.0</v>
      </c>
      <c r="S103" s="254" t="s">
        <v>2752</v>
      </c>
      <c r="T103" s="274">
        <v>46063.0</v>
      </c>
      <c r="U103" s="275" t="s">
        <v>93</v>
      </c>
      <c r="V103" s="254" t="s">
        <v>2753</v>
      </c>
      <c r="W103" s="274">
        <v>46063.0</v>
      </c>
      <c r="X103" s="275" t="s">
        <v>93</v>
      </c>
      <c r="Y103" s="276"/>
      <c r="Z103" s="277"/>
      <c r="AA103" s="278"/>
      <c r="AB103" s="304" t="s">
        <v>2754</v>
      </c>
      <c r="AC103" s="262">
        <v>1.0</v>
      </c>
      <c r="AD103" s="262">
        <v>0.0</v>
      </c>
      <c r="AE103" s="262">
        <v>3.0</v>
      </c>
      <c r="AF103" s="280">
        <v>3.0</v>
      </c>
      <c r="AG103" s="280">
        <v>3.0</v>
      </c>
      <c r="AH103" s="281">
        <f t="shared" si="5"/>
        <v>0</v>
      </c>
      <c r="AI103" s="282">
        <f t="shared" si="6"/>
        <v>1</v>
      </c>
      <c r="AJ103" s="283">
        <v>0.5</v>
      </c>
      <c r="AK103" s="271">
        <v>46044.0</v>
      </c>
      <c r="AL103" s="271">
        <v>46045.0</v>
      </c>
      <c r="AM103" s="284"/>
      <c r="AN103" s="285">
        <v>46045.0</v>
      </c>
      <c r="AO103" s="262" t="s">
        <v>2755</v>
      </c>
      <c r="AP103" s="294" t="s">
        <v>2756</v>
      </c>
      <c r="AQ103" s="118" t="s">
        <v>2757</v>
      </c>
      <c r="AR103" s="286" t="s">
        <v>2758</v>
      </c>
      <c r="AS103" s="287">
        <v>19236.1</v>
      </c>
      <c r="AT103" s="287"/>
      <c r="AU103" s="288">
        <f>VLOOKUP(I103,DADOS!B:C,2,0)</f>
        <v>2381</v>
      </c>
      <c r="AV103" s="289">
        <f t="shared" si="7"/>
        <v>7440</v>
      </c>
      <c r="AW103" s="290">
        <v>0.239</v>
      </c>
      <c r="AX103" s="290"/>
      <c r="AY103" s="265"/>
      <c r="AZ103" s="291"/>
      <c r="BA103" s="292" t="s">
        <v>702</v>
      </c>
      <c r="BB103" s="293" t="s">
        <v>2759</v>
      </c>
      <c r="BC103" s="294"/>
      <c r="BD103" s="294"/>
      <c r="BE103" s="294"/>
      <c r="BF103" s="294"/>
      <c r="BG103" s="294">
        <f t="shared" si="8"/>
        <v>0</v>
      </c>
      <c r="BH103" s="294"/>
      <c r="BI103" s="294" t="s">
        <v>2760</v>
      </c>
      <c r="BJ103" s="295" t="s">
        <v>2761</v>
      </c>
      <c r="BK103" s="425" t="s">
        <v>102</v>
      </c>
      <c r="BL103" s="129"/>
      <c r="BM103" s="129"/>
      <c r="BN103" s="36"/>
      <c r="BO103" s="130"/>
      <c r="BP103" s="32"/>
      <c r="BQ103" s="32"/>
      <c r="BR103" s="300" t="str">
        <f t="shared" si="13"/>
        <v>#REF!</v>
      </c>
      <c r="BS103" s="300"/>
      <c r="BT103" s="300"/>
    </row>
    <row r="104">
      <c r="A104" s="261">
        <v>9.102370533E9</v>
      </c>
      <c r="B104" s="537" t="s">
        <v>2762</v>
      </c>
      <c r="C104" s="264" t="s">
        <v>93</v>
      </c>
      <c r="D104" s="264" t="s">
        <v>93</v>
      </c>
      <c r="E104" s="265" t="s">
        <v>2763</v>
      </c>
      <c r="F104" s="305" t="s">
        <v>386</v>
      </c>
      <c r="G104" s="266" t="s">
        <v>495</v>
      </c>
      <c r="H104" s="302"/>
      <c r="I104" s="268" t="s">
        <v>773</v>
      </c>
      <c r="J104" s="269" t="s">
        <v>634</v>
      </c>
      <c r="K104" s="270" t="s">
        <v>585</v>
      </c>
      <c r="L104" s="303" t="s">
        <v>4</v>
      </c>
      <c r="M104" s="262" t="s">
        <v>1683</v>
      </c>
      <c r="N104" s="271"/>
      <c r="O104" s="272"/>
      <c r="P104" s="252">
        <v>46034.0</v>
      </c>
      <c r="Q104" s="351">
        <v>46035.0</v>
      </c>
      <c r="R104" s="271">
        <v>46041.0</v>
      </c>
      <c r="S104" s="275" t="s">
        <v>2764</v>
      </c>
      <c r="T104" s="274">
        <v>46062.0</v>
      </c>
      <c r="U104" s="275" t="s">
        <v>93</v>
      </c>
      <c r="V104" s="296" t="s">
        <v>2765</v>
      </c>
      <c r="W104" s="333">
        <v>46062.0</v>
      </c>
      <c r="X104" s="275" t="s">
        <v>93</v>
      </c>
      <c r="Y104" s="276"/>
      <c r="Z104" s="277"/>
      <c r="AA104" s="278"/>
      <c r="AB104" s="304" t="s">
        <v>2766</v>
      </c>
      <c r="AC104" s="262">
        <v>1.0</v>
      </c>
      <c r="AD104" s="262">
        <v>0.0</v>
      </c>
      <c r="AE104" s="262">
        <v>10.0</v>
      </c>
      <c r="AF104" s="280">
        <v>10.0</v>
      </c>
      <c r="AG104" s="280">
        <v>10.0</v>
      </c>
      <c r="AH104" s="281">
        <f t="shared" si="5"/>
        <v>0</v>
      </c>
      <c r="AI104" s="282">
        <f t="shared" si="6"/>
        <v>1</v>
      </c>
      <c r="AJ104" s="283">
        <v>1.0</v>
      </c>
      <c r="AK104" s="271">
        <v>46041.0</v>
      </c>
      <c r="AL104" s="271">
        <v>46052.0</v>
      </c>
      <c r="AM104" s="284"/>
      <c r="AN104" s="285">
        <v>46051.0</v>
      </c>
      <c r="AO104" s="262" t="s">
        <v>2767</v>
      </c>
      <c r="AP104" s="286" t="s">
        <v>2768</v>
      </c>
      <c r="AQ104" s="118" t="s">
        <v>2769</v>
      </c>
      <c r="AR104" s="286" t="s">
        <v>2770</v>
      </c>
      <c r="AS104" s="287">
        <v>69589.35</v>
      </c>
      <c r="AT104" s="287"/>
      <c r="AU104" s="288">
        <f>VLOOKUP(I104,DADOS!B:C,2,0)</f>
        <v>2305</v>
      </c>
      <c r="AV104" s="289">
        <f t="shared" si="7"/>
        <v>24800</v>
      </c>
      <c r="AW104" s="290"/>
      <c r="AX104" s="290">
        <v>0.45</v>
      </c>
      <c r="AY104" s="265"/>
      <c r="AZ104" s="291"/>
      <c r="BA104" s="292" t="s">
        <v>616</v>
      </c>
      <c r="BB104" s="293" t="s">
        <v>2771</v>
      </c>
      <c r="BC104" s="294"/>
      <c r="BD104" s="294"/>
      <c r="BE104" s="294"/>
      <c r="BF104" s="294"/>
      <c r="BG104" s="334">
        <f t="shared" si="8"/>
        <v>0</v>
      </c>
      <c r="BH104" s="294"/>
      <c r="BI104" s="294" t="s">
        <v>2768</v>
      </c>
      <c r="BJ104" s="295" t="s">
        <v>2772</v>
      </c>
      <c r="BK104" s="432" t="s">
        <v>102</v>
      </c>
      <c r="BL104" s="297"/>
      <c r="BM104" s="297"/>
      <c r="BN104" s="298"/>
      <c r="BO104" s="299" t="s">
        <v>2773</v>
      </c>
      <c r="BP104" s="300"/>
      <c r="BQ104" s="300"/>
      <c r="BR104" s="300" t="str">
        <f t="shared" si="13"/>
        <v>#REF!</v>
      </c>
      <c r="BS104" s="300"/>
      <c r="BT104" s="300"/>
    </row>
    <row r="105">
      <c r="A105" s="89"/>
      <c r="B105" s="99"/>
      <c r="C105" s="91"/>
      <c r="D105" s="91"/>
      <c r="E105" s="92"/>
      <c r="F105" s="93"/>
      <c r="G105" s="94"/>
      <c r="H105" s="95"/>
      <c r="I105" s="96"/>
      <c r="J105" s="97" t="str">
        <f>VLOOKUP(I105,DADOS!B:F,5,0)</f>
        <v>#N/A</v>
      </c>
      <c r="K105" s="98"/>
      <c r="L105" s="99"/>
      <c r="M105" s="99"/>
      <c r="N105" s="100"/>
      <c r="O105" s="101"/>
      <c r="P105" s="185"/>
      <c r="Q105" s="100"/>
      <c r="R105" s="100"/>
      <c r="S105" s="104"/>
      <c r="T105" s="134"/>
      <c r="U105" s="104"/>
      <c r="V105" s="105"/>
      <c r="W105" s="106"/>
      <c r="X105" s="104"/>
      <c r="Y105" s="107"/>
      <c r="Z105" s="108"/>
      <c r="AA105" s="109"/>
      <c r="AB105" s="110"/>
      <c r="AC105" s="99"/>
      <c r="AD105" s="99"/>
      <c r="AE105" s="99"/>
      <c r="AF105" s="111"/>
      <c r="AG105" s="111"/>
      <c r="AH105" s="112">
        <f t="shared" si="5"/>
        <v>0</v>
      </c>
      <c r="AI105" s="113">
        <f t="shared" si="6"/>
        <v>0</v>
      </c>
      <c r="AJ105" s="114"/>
      <c r="AK105" s="100"/>
      <c r="AL105" s="100"/>
      <c r="AM105" s="115"/>
      <c r="AN105" s="116"/>
      <c r="AO105" s="99"/>
      <c r="AP105" s="117"/>
      <c r="AQ105" s="199"/>
      <c r="AR105" s="117"/>
      <c r="AS105" s="119"/>
      <c r="AT105" s="119"/>
      <c r="AU105" s="120" t="str">
        <f>VLOOKUP(I105,DADOS!B:C,2,0)</f>
        <v>#N/A</v>
      </c>
      <c r="AV105" s="121">
        <f t="shared" si="7"/>
        <v>0</v>
      </c>
      <c r="AW105" s="122"/>
      <c r="AX105" s="122"/>
      <c r="AY105" s="92"/>
      <c r="AZ105" s="123"/>
      <c r="BA105" s="124"/>
      <c r="BB105" s="125"/>
      <c r="BC105" s="126"/>
      <c r="BD105" s="126"/>
      <c r="BE105" s="126"/>
      <c r="BF105" s="126"/>
      <c r="BG105" s="127">
        <f t="shared" si="8"/>
        <v>0</v>
      </c>
      <c r="BH105" s="126"/>
      <c r="BI105" s="126"/>
      <c r="BJ105" s="128"/>
      <c r="BK105" s="193" t="s">
        <v>102</v>
      </c>
      <c r="BL105" s="129"/>
      <c r="BM105" s="129"/>
      <c r="BN105" s="36"/>
      <c r="BO105" s="130"/>
      <c r="BP105" s="32"/>
      <c r="BQ105" s="32"/>
      <c r="BR105" s="300" t="str">
        <f t="shared" si="13"/>
        <v>#REF!</v>
      </c>
      <c r="BS105" s="32"/>
      <c r="BT105" s="32"/>
    </row>
    <row r="106">
      <c r="A106" s="89"/>
      <c r="B106" s="99"/>
      <c r="C106" s="91"/>
      <c r="D106" s="91"/>
      <c r="E106" s="92"/>
      <c r="F106" s="93"/>
      <c r="G106" s="94"/>
      <c r="H106" s="95"/>
      <c r="I106" s="96"/>
      <c r="J106" s="97" t="str">
        <f>VLOOKUP(I106,DADOS!B:F,5,0)</f>
        <v>#N/A</v>
      </c>
      <c r="K106" s="98"/>
      <c r="L106" s="99"/>
      <c r="M106" s="99"/>
      <c r="N106" s="100"/>
      <c r="O106" s="101"/>
      <c r="P106" s="185"/>
      <c r="Q106" s="100"/>
      <c r="R106" s="100"/>
      <c r="S106" s="104"/>
      <c r="T106" s="134"/>
      <c r="U106" s="104"/>
      <c r="V106" s="105"/>
      <c r="W106" s="106"/>
      <c r="X106" s="104"/>
      <c r="Y106" s="107"/>
      <c r="Z106" s="108"/>
      <c r="AA106" s="109"/>
      <c r="AB106" s="110"/>
      <c r="AC106" s="99"/>
      <c r="AD106" s="99"/>
      <c r="AE106" s="99"/>
      <c r="AF106" s="111"/>
      <c r="AG106" s="111"/>
      <c r="AH106" s="112">
        <f t="shared" si="5"/>
        <v>0</v>
      </c>
      <c r="AI106" s="113">
        <f t="shared" si="6"/>
        <v>0</v>
      </c>
      <c r="AJ106" s="114"/>
      <c r="AK106" s="100"/>
      <c r="AL106" s="100"/>
      <c r="AM106" s="115"/>
      <c r="AN106" s="116"/>
      <c r="AO106" s="99"/>
      <c r="AP106" s="117"/>
      <c r="AQ106" s="199"/>
      <c r="AR106" s="117"/>
      <c r="AS106" s="119"/>
      <c r="AT106" s="119"/>
      <c r="AU106" s="120" t="str">
        <f>VLOOKUP(I106,DADOS!B:C,2,0)</f>
        <v>#N/A</v>
      </c>
      <c r="AV106" s="121">
        <f t="shared" si="7"/>
        <v>0</v>
      </c>
      <c r="AW106" s="122"/>
      <c r="AX106" s="122"/>
      <c r="AY106" s="92"/>
      <c r="AZ106" s="123"/>
      <c r="BA106" s="124"/>
      <c r="BB106" s="125"/>
      <c r="BC106" s="126"/>
      <c r="BD106" s="126"/>
      <c r="BE106" s="126"/>
      <c r="BF106" s="126"/>
      <c r="BG106" s="127">
        <f t="shared" si="8"/>
        <v>0</v>
      </c>
      <c r="BH106" s="126"/>
      <c r="BI106" s="126"/>
      <c r="BJ106" s="128"/>
      <c r="BK106" s="193" t="s">
        <v>102</v>
      </c>
      <c r="BL106" s="129"/>
      <c r="BM106" s="129"/>
      <c r="BN106" s="36"/>
      <c r="BO106" s="130"/>
      <c r="BP106" s="32"/>
      <c r="BQ106" s="32"/>
      <c r="BR106" s="300" t="str">
        <f t="shared" si="13"/>
        <v>#REF!</v>
      </c>
      <c r="BS106" s="32"/>
      <c r="BT106" s="32"/>
    </row>
    <row r="107">
      <c r="A107" s="89"/>
      <c r="B107" s="99"/>
      <c r="C107" s="91"/>
      <c r="D107" s="91"/>
      <c r="E107" s="92"/>
      <c r="F107" s="93"/>
      <c r="G107" s="94"/>
      <c r="H107" s="95"/>
      <c r="I107" s="96"/>
      <c r="J107" s="97" t="str">
        <f>VLOOKUP(I107,DADOS!B:F,5,0)</f>
        <v>#N/A</v>
      </c>
      <c r="K107" s="98"/>
      <c r="L107" s="99"/>
      <c r="M107" s="99"/>
      <c r="N107" s="100"/>
      <c r="O107" s="101"/>
      <c r="P107" s="185"/>
      <c r="Q107" s="100"/>
      <c r="R107" s="100"/>
      <c r="S107" s="104"/>
      <c r="T107" s="134"/>
      <c r="U107" s="104"/>
      <c r="V107" s="105"/>
      <c r="W107" s="106"/>
      <c r="X107" s="104"/>
      <c r="Y107" s="107"/>
      <c r="Z107" s="108"/>
      <c r="AA107" s="109"/>
      <c r="AB107" s="110"/>
      <c r="AC107" s="99"/>
      <c r="AD107" s="99"/>
      <c r="AE107" s="99"/>
      <c r="AF107" s="111"/>
      <c r="AG107" s="111"/>
      <c r="AH107" s="112">
        <f t="shared" si="5"/>
        <v>0</v>
      </c>
      <c r="AI107" s="113">
        <f t="shared" si="6"/>
        <v>0</v>
      </c>
      <c r="AJ107" s="114"/>
      <c r="AK107" s="100"/>
      <c r="AL107" s="100"/>
      <c r="AM107" s="115"/>
      <c r="AN107" s="116"/>
      <c r="AO107" s="99"/>
      <c r="AP107" s="117"/>
      <c r="AQ107" s="199"/>
      <c r="AR107" s="117"/>
      <c r="AS107" s="119"/>
      <c r="AT107" s="119"/>
      <c r="AU107" s="120" t="str">
        <f>VLOOKUP(I107,DADOS!B:C,2,0)</f>
        <v>#N/A</v>
      </c>
      <c r="AV107" s="121">
        <f t="shared" si="7"/>
        <v>0</v>
      </c>
      <c r="AW107" s="122"/>
      <c r="AX107" s="122"/>
      <c r="AY107" s="92"/>
      <c r="AZ107" s="123"/>
      <c r="BA107" s="124"/>
      <c r="BB107" s="125"/>
      <c r="BC107" s="126"/>
      <c r="BD107" s="126"/>
      <c r="BE107" s="126"/>
      <c r="BF107" s="126"/>
      <c r="BG107" s="127">
        <f t="shared" si="8"/>
        <v>0</v>
      </c>
      <c r="BH107" s="126"/>
      <c r="BI107" s="126"/>
      <c r="BJ107" s="128"/>
      <c r="BK107" s="193" t="s">
        <v>102</v>
      </c>
      <c r="BL107" s="129"/>
      <c r="BM107" s="129"/>
      <c r="BN107" s="36"/>
      <c r="BO107" s="130"/>
      <c r="BP107" s="32"/>
      <c r="BQ107" s="32"/>
      <c r="BR107" s="32"/>
      <c r="BS107" s="32"/>
      <c r="BT107" s="32"/>
    </row>
    <row r="108">
      <c r="A108" s="89"/>
      <c r="B108" s="99"/>
      <c r="C108" s="91"/>
      <c r="D108" s="91"/>
      <c r="E108" s="92"/>
      <c r="F108" s="93"/>
      <c r="G108" s="94"/>
      <c r="H108" s="95"/>
      <c r="I108" s="96"/>
      <c r="J108" s="97" t="str">
        <f>VLOOKUP(I108,DADOS!B:F,5,0)</f>
        <v>#N/A</v>
      </c>
      <c r="K108" s="98"/>
      <c r="L108" s="99"/>
      <c r="M108" s="99"/>
      <c r="N108" s="100"/>
      <c r="O108" s="101"/>
      <c r="P108" s="185"/>
      <c r="Q108" s="100"/>
      <c r="R108" s="100"/>
      <c r="S108" s="104"/>
      <c r="T108" s="134"/>
      <c r="U108" s="104"/>
      <c r="V108" s="105"/>
      <c r="W108" s="106"/>
      <c r="X108" s="104"/>
      <c r="Y108" s="107"/>
      <c r="Z108" s="108"/>
      <c r="AA108" s="109"/>
      <c r="AB108" s="110"/>
      <c r="AC108" s="99"/>
      <c r="AD108" s="99"/>
      <c r="AE108" s="99"/>
      <c r="AF108" s="111"/>
      <c r="AG108" s="111"/>
      <c r="AH108" s="112">
        <f t="shared" si="5"/>
        <v>0</v>
      </c>
      <c r="AI108" s="113">
        <f t="shared" si="6"/>
        <v>0</v>
      </c>
      <c r="AJ108" s="114"/>
      <c r="AK108" s="100"/>
      <c r="AL108" s="100"/>
      <c r="AM108" s="115"/>
      <c r="AN108" s="116"/>
      <c r="AO108" s="99"/>
      <c r="AP108" s="117"/>
      <c r="AQ108" s="199"/>
      <c r="AR108" s="117"/>
      <c r="AS108" s="119"/>
      <c r="AT108" s="119"/>
      <c r="AU108" s="120" t="str">
        <f>VLOOKUP(I108,DADOS!B:C,2,0)</f>
        <v>#N/A</v>
      </c>
      <c r="AV108" s="121">
        <f t="shared" si="7"/>
        <v>0</v>
      </c>
      <c r="AW108" s="122"/>
      <c r="AX108" s="122"/>
      <c r="AY108" s="92"/>
      <c r="AZ108" s="123"/>
      <c r="BA108" s="124"/>
      <c r="BB108" s="125"/>
      <c r="BC108" s="126"/>
      <c r="BD108" s="126"/>
      <c r="BE108" s="126"/>
      <c r="BF108" s="126"/>
      <c r="BG108" s="127">
        <f t="shared" si="8"/>
        <v>0</v>
      </c>
      <c r="BH108" s="126"/>
      <c r="BI108" s="126"/>
      <c r="BJ108" s="128"/>
      <c r="BK108" s="193" t="s">
        <v>102</v>
      </c>
      <c r="BL108" s="129"/>
      <c r="BM108" s="129"/>
      <c r="BN108" s="36"/>
      <c r="BO108" s="130"/>
      <c r="BP108" s="32"/>
      <c r="BQ108" s="32"/>
      <c r="BR108" s="32"/>
      <c r="BS108" s="32"/>
      <c r="BT108" s="32"/>
    </row>
    <row r="109">
      <c r="A109" s="89"/>
      <c r="B109" s="99"/>
      <c r="C109" s="91"/>
      <c r="D109" s="91"/>
      <c r="E109" s="92"/>
      <c r="F109" s="93"/>
      <c r="G109" s="94"/>
      <c r="H109" s="95"/>
      <c r="I109" s="96"/>
      <c r="J109" s="97" t="str">
        <f>VLOOKUP(I109,DADOS!B:F,5,0)</f>
        <v>#N/A</v>
      </c>
      <c r="K109" s="98"/>
      <c r="L109" s="99"/>
      <c r="M109" s="99"/>
      <c r="N109" s="100"/>
      <c r="O109" s="101"/>
      <c r="P109" s="185"/>
      <c r="Q109" s="100"/>
      <c r="R109" s="100"/>
      <c r="S109" s="104"/>
      <c r="T109" s="134"/>
      <c r="U109" s="104"/>
      <c r="V109" s="105"/>
      <c r="W109" s="106"/>
      <c r="X109" s="104"/>
      <c r="Y109" s="107"/>
      <c r="Z109" s="108"/>
      <c r="AA109" s="109"/>
      <c r="AB109" s="110"/>
      <c r="AC109" s="99"/>
      <c r="AD109" s="99"/>
      <c r="AE109" s="99"/>
      <c r="AF109" s="111"/>
      <c r="AG109" s="111"/>
      <c r="AH109" s="112">
        <f t="shared" si="5"/>
        <v>0</v>
      </c>
      <c r="AI109" s="113">
        <f t="shared" si="6"/>
        <v>0</v>
      </c>
      <c r="AJ109" s="114"/>
      <c r="AK109" s="100"/>
      <c r="AL109" s="100"/>
      <c r="AM109" s="115"/>
      <c r="AN109" s="116"/>
      <c r="AO109" s="99"/>
      <c r="AP109" s="117"/>
      <c r="AQ109" s="199"/>
      <c r="AR109" s="117"/>
      <c r="AS109" s="119"/>
      <c r="AT109" s="119"/>
      <c r="AU109" s="120" t="str">
        <f>VLOOKUP(I109,DADOS!B:C,2,0)</f>
        <v>#N/A</v>
      </c>
      <c r="AV109" s="121">
        <f t="shared" si="7"/>
        <v>0</v>
      </c>
      <c r="AW109" s="122"/>
      <c r="AX109" s="122"/>
      <c r="AY109" s="92"/>
      <c r="AZ109" s="123"/>
      <c r="BA109" s="124"/>
      <c r="BB109" s="125"/>
      <c r="BC109" s="126"/>
      <c r="BD109" s="126"/>
      <c r="BE109" s="126"/>
      <c r="BF109" s="126"/>
      <c r="BG109" s="127">
        <f t="shared" si="8"/>
        <v>0</v>
      </c>
      <c r="BH109" s="126"/>
      <c r="BI109" s="126"/>
      <c r="BJ109" s="128"/>
      <c r="BK109" s="193" t="s">
        <v>102</v>
      </c>
      <c r="BL109" s="129"/>
      <c r="BM109" s="129"/>
      <c r="BN109" s="36"/>
      <c r="BO109" s="130"/>
      <c r="BP109" s="32"/>
      <c r="BQ109" s="32"/>
      <c r="BR109" s="32"/>
      <c r="BS109" s="32"/>
      <c r="BT109" s="32"/>
    </row>
    <row r="110">
      <c r="A110" s="89"/>
      <c r="B110" s="99"/>
      <c r="C110" s="91"/>
      <c r="D110" s="91"/>
      <c r="E110" s="92"/>
      <c r="F110" s="93"/>
      <c r="G110" s="94"/>
      <c r="H110" s="95"/>
      <c r="I110" s="96"/>
      <c r="J110" s="97" t="str">
        <f>VLOOKUP(I110,DADOS!B:F,5,0)</f>
        <v>#N/A</v>
      </c>
      <c r="K110" s="98"/>
      <c r="L110" s="99"/>
      <c r="M110" s="99"/>
      <c r="N110" s="100"/>
      <c r="O110" s="101"/>
      <c r="P110" s="185"/>
      <c r="Q110" s="100"/>
      <c r="R110" s="100"/>
      <c r="S110" s="104"/>
      <c r="T110" s="134"/>
      <c r="U110" s="104"/>
      <c r="V110" s="105"/>
      <c r="W110" s="106"/>
      <c r="X110" s="104"/>
      <c r="Y110" s="107"/>
      <c r="Z110" s="108"/>
      <c r="AA110" s="109"/>
      <c r="AB110" s="110"/>
      <c r="AC110" s="99"/>
      <c r="AD110" s="99"/>
      <c r="AE110" s="99"/>
      <c r="AF110" s="111"/>
      <c r="AG110" s="111"/>
      <c r="AH110" s="112">
        <f t="shared" si="5"/>
        <v>0</v>
      </c>
      <c r="AI110" s="113">
        <f t="shared" si="6"/>
        <v>0</v>
      </c>
      <c r="AJ110" s="114"/>
      <c r="AK110" s="100"/>
      <c r="AL110" s="100"/>
      <c r="AM110" s="115"/>
      <c r="AN110" s="116"/>
      <c r="AO110" s="99"/>
      <c r="AP110" s="117"/>
      <c r="AQ110" s="199"/>
      <c r="AR110" s="117"/>
      <c r="AS110" s="119"/>
      <c r="AT110" s="119"/>
      <c r="AU110" s="120" t="str">
        <f>VLOOKUP(I110,DADOS!B:C,2,0)</f>
        <v>#N/A</v>
      </c>
      <c r="AV110" s="121">
        <f t="shared" si="7"/>
        <v>0</v>
      </c>
      <c r="AW110" s="122"/>
      <c r="AX110" s="122"/>
      <c r="AY110" s="92"/>
      <c r="AZ110" s="123"/>
      <c r="BA110" s="124"/>
      <c r="BB110" s="125"/>
      <c r="BC110" s="126"/>
      <c r="BD110" s="126"/>
      <c r="BE110" s="126"/>
      <c r="BF110" s="126"/>
      <c r="BG110" s="127">
        <f t="shared" si="8"/>
        <v>0</v>
      </c>
      <c r="BH110" s="126"/>
      <c r="BI110" s="126"/>
      <c r="BJ110" s="128"/>
      <c r="BK110" s="193" t="s">
        <v>102</v>
      </c>
      <c r="BL110" s="129"/>
      <c r="BM110" s="129"/>
      <c r="BN110" s="36"/>
      <c r="BO110" s="130"/>
      <c r="BP110" s="32"/>
      <c r="BQ110" s="32"/>
      <c r="BR110" s="32"/>
      <c r="BS110" s="32"/>
      <c r="BT110" s="32"/>
    </row>
    <row r="111">
      <c r="A111" s="89"/>
      <c r="B111" s="99"/>
      <c r="C111" s="91"/>
      <c r="D111" s="91"/>
      <c r="E111" s="92"/>
      <c r="F111" s="93"/>
      <c r="G111" s="94"/>
      <c r="H111" s="95"/>
      <c r="I111" s="96"/>
      <c r="J111" s="97" t="str">
        <f>VLOOKUP(I111,DADOS!B:F,5,0)</f>
        <v>#N/A</v>
      </c>
      <c r="K111" s="98"/>
      <c r="L111" s="99"/>
      <c r="M111" s="99"/>
      <c r="N111" s="100"/>
      <c r="O111" s="101"/>
      <c r="P111" s="185"/>
      <c r="Q111" s="100"/>
      <c r="R111" s="100"/>
      <c r="S111" s="104"/>
      <c r="T111" s="134"/>
      <c r="U111" s="104"/>
      <c r="V111" s="105"/>
      <c r="W111" s="106"/>
      <c r="X111" s="104"/>
      <c r="Y111" s="107"/>
      <c r="Z111" s="108"/>
      <c r="AA111" s="109"/>
      <c r="AB111" s="110"/>
      <c r="AC111" s="99"/>
      <c r="AD111" s="99"/>
      <c r="AE111" s="99"/>
      <c r="AF111" s="111"/>
      <c r="AG111" s="111"/>
      <c r="AH111" s="112">
        <f t="shared" si="5"/>
        <v>0</v>
      </c>
      <c r="AI111" s="113">
        <f t="shared" si="6"/>
        <v>0</v>
      </c>
      <c r="AJ111" s="114"/>
      <c r="AK111" s="100"/>
      <c r="AL111" s="100"/>
      <c r="AM111" s="115"/>
      <c r="AN111" s="116"/>
      <c r="AO111" s="99"/>
      <c r="AP111" s="117"/>
      <c r="AQ111" s="199"/>
      <c r="AR111" s="117"/>
      <c r="AS111" s="119"/>
      <c r="AT111" s="119"/>
      <c r="AU111" s="120" t="str">
        <f>VLOOKUP(I111,DADOS!B:C,2,0)</f>
        <v>#N/A</v>
      </c>
      <c r="AV111" s="121">
        <f t="shared" si="7"/>
        <v>0</v>
      </c>
      <c r="AW111" s="122"/>
      <c r="AX111" s="122"/>
      <c r="AY111" s="92"/>
      <c r="AZ111" s="123"/>
      <c r="BA111" s="124"/>
      <c r="BB111" s="125"/>
      <c r="BC111" s="126"/>
      <c r="BD111" s="126"/>
      <c r="BE111" s="126"/>
      <c r="BF111" s="126"/>
      <c r="BG111" s="127">
        <f t="shared" si="8"/>
        <v>0</v>
      </c>
      <c r="BH111" s="126"/>
      <c r="BI111" s="126"/>
      <c r="BJ111" s="128"/>
      <c r="BK111" s="193" t="s">
        <v>102</v>
      </c>
      <c r="BL111" s="129"/>
      <c r="BM111" s="129"/>
      <c r="BN111" s="36"/>
      <c r="BO111" s="130"/>
      <c r="BP111" s="32"/>
      <c r="BQ111" s="32"/>
      <c r="BR111" s="32"/>
      <c r="BS111" s="32"/>
      <c r="BT111" s="32"/>
    </row>
    <row r="112">
      <c r="A112" s="89"/>
      <c r="B112" s="99"/>
      <c r="C112" s="91"/>
      <c r="D112" s="91"/>
      <c r="E112" s="92"/>
      <c r="F112" s="93"/>
      <c r="G112" s="94"/>
      <c r="H112" s="95"/>
      <c r="I112" s="96"/>
      <c r="J112" s="97" t="str">
        <f>VLOOKUP(I112,DADOS!B:F,5,0)</f>
        <v>#N/A</v>
      </c>
      <c r="K112" s="98"/>
      <c r="L112" s="99"/>
      <c r="M112" s="99"/>
      <c r="N112" s="100"/>
      <c r="O112" s="101"/>
      <c r="P112" s="185"/>
      <c r="Q112" s="100"/>
      <c r="R112" s="100"/>
      <c r="S112" s="104"/>
      <c r="T112" s="134"/>
      <c r="U112" s="104"/>
      <c r="V112" s="105"/>
      <c r="W112" s="106"/>
      <c r="X112" s="104"/>
      <c r="Y112" s="107"/>
      <c r="Z112" s="108"/>
      <c r="AA112" s="109"/>
      <c r="AB112" s="110"/>
      <c r="AC112" s="99"/>
      <c r="AD112" s="99"/>
      <c r="AE112" s="99"/>
      <c r="AF112" s="111"/>
      <c r="AG112" s="111"/>
      <c r="AH112" s="112">
        <f t="shared" si="5"/>
        <v>0</v>
      </c>
      <c r="AI112" s="113">
        <f t="shared" si="6"/>
        <v>0</v>
      </c>
      <c r="AJ112" s="114"/>
      <c r="AK112" s="100"/>
      <c r="AL112" s="100"/>
      <c r="AM112" s="115"/>
      <c r="AN112" s="116"/>
      <c r="AO112" s="99"/>
      <c r="AP112" s="117"/>
      <c r="AQ112" s="199"/>
      <c r="AR112" s="117"/>
      <c r="AS112" s="119"/>
      <c r="AT112" s="119"/>
      <c r="AU112" s="120" t="str">
        <f>VLOOKUP(I112,DADOS!B:C,2,0)</f>
        <v>#N/A</v>
      </c>
      <c r="AV112" s="121">
        <f t="shared" si="7"/>
        <v>0</v>
      </c>
      <c r="AW112" s="122"/>
      <c r="AX112" s="122"/>
      <c r="AY112" s="92"/>
      <c r="AZ112" s="123"/>
      <c r="BA112" s="124"/>
      <c r="BB112" s="125"/>
      <c r="BC112" s="126"/>
      <c r="BD112" s="126"/>
      <c r="BE112" s="126"/>
      <c r="BF112" s="126"/>
      <c r="BG112" s="127">
        <f t="shared" si="8"/>
        <v>0</v>
      </c>
      <c r="BH112" s="126"/>
      <c r="BI112" s="126"/>
      <c r="BJ112" s="128"/>
      <c r="BK112" s="193" t="s">
        <v>102</v>
      </c>
      <c r="BL112" s="129"/>
      <c r="BM112" s="129"/>
      <c r="BN112" s="36"/>
      <c r="BO112" s="130"/>
      <c r="BP112" s="32"/>
      <c r="BQ112" s="32"/>
      <c r="BR112" s="32"/>
      <c r="BS112" s="32"/>
      <c r="BT112" s="32"/>
    </row>
    <row r="113">
      <c r="A113" s="89"/>
      <c r="B113" s="99"/>
      <c r="C113" s="91"/>
      <c r="D113" s="91"/>
      <c r="E113" s="92"/>
      <c r="F113" s="93"/>
      <c r="G113" s="94"/>
      <c r="H113" s="95"/>
      <c r="I113" s="96"/>
      <c r="J113" s="97" t="str">
        <f>VLOOKUP(I113,DADOS!B:F,5,0)</f>
        <v>#N/A</v>
      </c>
      <c r="K113" s="98"/>
      <c r="L113" s="99"/>
      <c r="M113" s="99"/>
      <c r="N113" s="100"/>
      <c r="O113" s="101"/>
      <c r="P113" s="185"/>
      <c r="Q113" s="100"/>
      <c r="R113" s="100"/>
      <c r="S113" s="104"/>
      <c r="T113" s="134"/>
      <c r="U113" s="104"/>
      <c r="V113" s="105"/>
      <c r="W113" s="106"/>
      <c r="X113" s="104"/>
      <c r="Y113" s="107"/>
      <c r="Z113" s="108"/>
      <c r="AA113" s="109"/>
      <c r="AB113" s="110"/>
      <c r="AC113" s="99"/>
      <c r="AD113" s="99"/>
      <c r="AE113" s="99"/>
      <c r="AF113" s="111"/>
      <c r="AG113" s="111"/>
      <c r="AH113" s="112">
        <f t="shared" si="5"/>
        <v>0</v>
      </c>
      <c r="AI113" s="113">
        <f t="shared" si="6"/>
        <v>0</v>
      </c>
      <c r="AJ113" s="114"/>
      <c r="AK113" s="100"/>
      <c r="AL113" s="100"/>
      <c r="AM113" s="115"/>
      <c r="AN113" s="116"/>
      <c r="AO113" s="99"/>
      <c r="AP113" s="117"/>
      <c r="AQ113" s="199"/>
      <c r="AR113" s="117"/>
      <c r="AS113" s="119"/>
      <c r="AT113" s="119"/>
      <c r="AU113" s="120" t="str">
        <f>VLOOKUP(I113,DADOS!B:C,2,0)</f>
        <v>#N/A</v>
      </c>
      <c r="AV113" s="121">
        <f t="shared" si="7"/>
        <v>0</v>
      </c>
      <c r="AW113" s="122"/>
      <c r="AX113" s="122"/>
      <c r="AY113" s="92"/>
      <c r="AZ113" s="123"/>
      <c r="BA113" s="124"/>
      <c r="BB113" s="125"/>
      <c r="BC113" s="126"/>
      <c r="BD113" s="126"/>
      <c r="BE113" s="126"/>
      <c r="BF113" s="126"/>
      <c r="BG113" s="127">
        <f t="shared" si="8"/>
        <v>0</v>
      </c>
      <c r="BH113" s="126"/>
      <c r="BI113" s="126"/>
      <c r="BJ113" s="128"/>
      <c r="BK113" s="193" t="s">
        <v>102</v>
      </c>
      <c r="BL113" s="129"/>
      <c r="BM113" s="129"/>
      <c r="BN113" s="36"/>
      <c r="BO113" s="130"/>
      <c r="BP113" s="32"/>
      <c r="BQ113" s="32"/>
      <c r="BR113" s="32"/>
      <c r="BS113" s="32"/>
      <c r="BT113" s="32"/>
    </row>
    <row r="114" ht="60.0" customHeight="1">
      <c r="A114" s="203"/>
      <c r="B114" s="204"/>
      <c r="C114" s="205" t="s">
        <v>375</v>
      </c>
      <c r="D114" s="205" t="s">
        <v>375</v>
      </c>
      <c r="E114" s="205"/>
      <c r="F114" s="206"/>
      <c r="G114" s="206"/>
      <c r="H114" s="32"/>
      <c r="I114" s="207"/>
      <c r="J114" s="208"/>
      <c r="K114" s="208"/>
      <c r="L114" s="207"/>
      <c r="M114" s="207"/>
      <c r="N114" s="209"/>
      <c r="O114" s="61"/>
      <c r="P114" s="209"/>
      <c r="Q114" s="210"/>
      <c r="R114" s="210"/>
      <c r="S114" s="211"/>
      <c r="T114" s="212"/>
      <c r="U114" s="211"/>
      <c r="V114" s="211"/>
      <c r="W114" s="212"/>
      <c r="X114" s="213"/>
      <c r="Y114" s="214"/>
      <c r="Z114" s="213"/>
      <c r="AA114" s="45"/>
      <c r="AB114" s="45"/>
      <c r="AC114" s="207"/>
      <c r="AD114" s="207"/>
      <c r="AE114" s="207"/>
      <c r="AF114" s="17"/>
      <c r="AG114" s="17"/>
      <c r="AH114" s="215"/>
      <c r="AI114" s="216"/>
      <c r="AJ114" s="217"/>
      <c r="AK114" s="218"/>
      <c r="AL114" s="218"/>
      <c r="AM114" s="218"/>
      <c r="AN114" s="218"/>
      <c r="AP114" s="219"/>
      <c r="AQ114" s="220"/>
      <c r="AR114" s="219"/>
      <c r="AS114" s="221"/>
      <c r="AT114" s="221"/>
      <c r="AU114" s="222"/>
      <c r="AV114" s="222"/>
      <c r="AW114" s="223"/>
      <c r="AX114" s="223"/>
      <c r="AY114" s="206"/>
      <c r="AZ114" s="224"/>
      <c r="BA114" s="219"/>
      <c r="BB114" s="219"/>
      <c r="BC114" s="219"/>
      <c r="BD114" s="219"/>
      <c r="BE114" s="219"/>
      <c r="BF114" s="219"/>
      <c r="BG114" s="219"/>
      <c r="BH114" s="219"/>
      <c r="BI114" s="219"/>
      <c r="BJ114" s="225"/>
      <c r="BK114" s="226"/>
      <c r="BL114" s="227"/>
      <c r="BM114" s="228"/>
      <c r="BN114" s="229" t="str">
        <f>K114</f>
        <v/>
      </c>
      <c r="BO114" s="230"/>
      <c r="BP114" s="231" t="s">
        <v>376</v>
      </c>
      <c r="BQ114" s="232"/>
      <c r="BR114" s="232"/>
      <c r="BS114" s="232"/>
      <c r="BT114" s="232"/>
    </row>
    <row r="115">
      <c r="A115" s="203"/>
      <c r="B115" s="204"/>
      <c r="C115" s="205"/>
      <c r="D115" s="205"/>
      <c r="E115" s="205"/>
      <c r="F115" s="206"/>
      <c r="G115" s="206"/>
      <c r="H115" s="39"/>
      <c r="I115" s="207"/>
      <c r="J115" s="208"/>
      <c r="K115" s="208"/>
      <c r="L115" s="207"/>
      <c r="M115" s="207"/>
      <c r="N115" s="209"/>
      <c r="O115" s="233"/>
      <c r="P115" s="209"/>
      <c r="Q115" s="210"/>
      <c r="R115" s="210"/>
      <c r="S115" s="211"/>
      <c r="T115" s="212"/>
      <c r="U115" s="211"/>
      <c r="V115" s="211"/>
      <c r="W115" s="212"/>
      <c r="X115" s="213"/>
      <c r="Y115" s="214"/>
      <c r="Z115" s="213"/>
      <c r="AA115" s="45"/>
      <c r="AB115" s="45"/>
      <c r="AC115" s="207"/>
      <c r="AD115" s="207"/>
      <c r="AE115" s="207"/>
      <c r="AF115" s="17"/>
      <c r="AG115" s="17"/>
      <c r="AH115" s="215"/>
      <c r="AI115" s="216"/>
      <c r="AJ115" s="217"/>
      <c r="AK115" s="210"/>
      <c r="AL115" s="210"/>
      <c r="AM115" s="210"/>
      <c r="AN115" s="218"/>
      <c r="AO115" s="210"/>
      <c r="AP115" s="219"/>
      <c r="AQ115" s="220"/>
      <c r="AR115" s="219"/>
      <c r="AS115" s="221"/>
      <c r="AT115" s="221"/>
      <c r="AU115" s="222"/>
      <c r="AV115" s="222"/>
      <c r="AW115" s="223"/>
      <c r="AX115" s="223"/>
      <c r="AY115" s="206"/>
      <c r="AZ115" s="224"/>
      <c r="BA115" s="219"/>
      <c r="BB115" s="219"/>
      <c r="BC115" s="219"/>
      <c r="BD115" s="219"/>
      <c r="BE115" s="219"/>
      <c r="BF115" s="219"/>
      <c r="BG115" s="219"/>
      <c r="BH115" s="219"/>
      <c r="BI115" s="219"/>
      <c r="BJ115" s="225"/>
      <c r="BK115" s="225"/>
      <c r="BL115" s="234"/>
      <c r="BM115" s="234"/>
      <c r="BN115" s="235"/>
      <c r="BO115" s="236" t="s">
        <v>377</v>
      </c>
      <c r="BP115" s="237" t="str">
        <f>VLOOKUP(BP116,B:AO,4,0)</f>
        <v>RR-CIND-FAZ-BRASILEIRO 9999 B-CAICARA</v>
      </c>
      <c r="BQ115" s="238" t="s">
        <v>378</v>
      </c>
      <c r="BR115" s="232"/>
      <c r="BS115" s="232"/>
      <c r="BT115" s="232"/>
    </row>
    <row r="116">
      <c r="A116" s="203"/>
      <c r="B116" s="204"/>
      <c r="C116" s="205"/>
      <c r="D116" s="205"/>
      <c r="E116" s="205"/>
      <c r="F116" s="206"/>
      <c r="G116" s="206"/>
      <c r="H116" s="39"/>
      <c r="I116" s="207"/>
      <c r="J116" s="208"/>
      <c r="K116" s="208"/>
      <c r="L116" s="207"/>
      <c r="M116" s="207"/>
      <c r="N116" s="209"/>
      <c r="O116" s="239"/>
      <c r="P116" s="209"/>
      <c r="Q116" s="210"/>
      <c r="R116" s="210"/>
      <c r="S116" s="211"/>
      <c r="T116" s="212"/>
      <c r="U116" s="211"/>
      <c r="V116" s="211"/>
      <c r="W116" s="212"/>
      <c r="X116" s="213"/>
      <c r="Y116" s="214"/>
      <c r="Z116" s="213"/>
      <c r="AA116" s="45"/>
      <c r="AB116" s="45"/>
      <c r="AC116" s="207"/>
      <c r="AD116" s="207"/>
      <c r="AE116" s="207"/>
      <c r="AF116" s="17"/>
      <c r="AG116" s="17"/>
      <c r="AH116" s="215"/>
      <c r="AI116" s="216"/>
      <c r="AJ116" s="217"/>
      <c r="AK116" s="210"/>
      <c r="AL116" s="210"/>
      <c r="AM116" s="210"/>
      <c r="AN116" s="218"/>
      <c r="AO116" s="210"/>
      <c r="AP116" s="219"/>
      <c r="AQ116" s="220"/>
      <c r="AR116" s="219"/>
      <c r="AS116" s="221"/>
      <c r="AT116" s="221"/>
      <c r="AU116" s="222"/>
      <c r="AV116" s="222"/>
      <c r="AW116" s="223"/>
      <c r="AX116" s="223"/>
      <c r="AY116" s="206"/>
      <c r="AZ116" s="224"/>
      <c r="BA116" s="219"/>
      <c r="BB116" s="219"/>
      <c r="BC116" s="219"/>
      <c r="BD116" s="219"/>
      <c r="BE116" s="219"/>
      <c r="BF116" s="219"/>
      <c r="BG116" s="219"/>
      <c r="BH116" s="219"/>
      <c r="BI116" s="219"/>
      <c r="BJ116" s="225"/>
      <c r="BK116" s="225"/>
      <c r="BL116" s="234"/>
      <c r="BM116" s="234"/>
      <c r="BN116" s="240"/>
      <c r="BO116" s="236" t="s">
        <v>379</v>
      </c>
      <c r="BP116" s="241" t="s">
        <v>2269</v>
      </c>
      <c r="BQ116" s="242" t="s">
        <v>381</v>
      </c>
      <c r="BR116" s="232"/>
      <c r="BS116" s="232"/>
      <c r="BT116" s="232"/>
    </row>
    <row r="117">
      <c r="A117" s="203"/>
      <c r="B117" s="204"/>
      <c r="C117" s="205"/>
      <c r="D117" s="205"/>
      <c r="E117" s="205"/>
      <c r="F117" s="206"/>
      <c r="G117" s="206"/>
      <c r="H117" s="39"/>
      <c r="I117" s="207"/>
      <c r="J117" s="208"/>
      <c r="K117" s="208"/>
      <c r="L117" s="207"/>
      <c r="M117" s="207"/>
      <c r="N117" s="209"/>
      <c r="O117" s="239"/>
      <c r="P117" s="209"/>
      <c r="Q117" s="210"/>
      <c r="R117" s="210"/>
      <c r="S117" s="211"/>
      <c r="T117" s="212"/>
      <c r="U117" s="211"/>
      <c r="V117" s="211"/>
      <c r="W117" s="212"/>
      <c r="X117" s="213"/>
      <c r="Y117" s="214"/>
      <c r="Z117" s="213"/>
      <c r="AA117" s="45"/>
      <c r="AB117" s="45"/>
      <c r="AC117" s="207"/>
      <c r="AD117" s="207"/>
      <c r="AE117" s="207"/>
      <c r="AF117" s="17"/>
      <c r="AG117" s="17"/>
      <c r="AH117" s="215"/>
      <c r="AI117" s="216"/>
      <c r="AJ117" s="217"/>
      <c r="AK117" s="210"/>
      <c r="AL117" s="210"/>
      <c r="AM117" s="210"/>
      <c r="AN117" s="218"/>
      <c r="AO117" s="210"/>
      <c r="AP117" s="219"/>
      <c r="AQ117" s="220"/>
      <c r="AR117" s="219"/>
      <c r="AS117" s="221"/>
      <c r="AT117" s="221"/>
      <c r="AU117" s="222"/>
      <c r="AV117" s="222"/>
      <c r="AW117" s="223"/>
      <c r="AX117" s="223"/>
      <c r="AY117" s="206"/>
      <c r="AZ117" s="224"/>
      <c r="BA117" s="219"/>
      <c r="BB117" s="219"/>
      <c r="BC117" s="219"/>
      <c r="BD117" s="219"/>
      <c r="BE117" s="219"/>
      <c r="BF117" s="219"/>
      <c r="BG117" s="219"/>
      <c r="BH117" s="219"/>
      <c r="BI117" s="219"/>
      <c r="BJ117" s="225"/>
      <c r="BK117" s="225"/>
      <c r="BL117" s="234"/>
      <c r="BM117" s="234"/>
      <c r="BN117" s="235"/>
      <c r="BO117" s="236" t="s">
        <v>382</v>
      </c>
      <c r="BP117" s="243" t="str">
        <f>VLOOKUP(BP116,B:AO,2,0)</f>
        <v>N/A</v>
      </c>
      <c r="BQ117" s="238" t="s">
        <v>378</v>
      </c>
      <c r="BR117" s="232"/>
      <c r="BS117" s="232"/>
      <c r="BT117" s="232"/>
    </row>
    <row r="118">
      <c r="A118" s="203"/>
      <c r="B118" s="204"/>
      <c r="C118" s="205"/>
      <c r="D118" s="205"/>
      <c r="E118" s="205"/>
      <c r="F118" s="206"/>
      <c r="G118" s="206"/>
      <c r="H118" s="39"/>
      <c r="I118" s="207"/>
      <c r="J118" s="208"/>
      <c r="K118" s="208"/>
      <c r="L118" s="207"/>
      <c r="M118" s="207"/>
      <c r="N118" s="209"/>
      <c r="O118" s="239"/>
      <c r="P118" s="209"/>
      <c r="Q118" s="210"/>
      <c r="R118" s="210"/>
      <c r="S118" s="211"/>
      <c r="T118" s="212"/>
      <c r="U118" s="211"/>
      <c r="V118" s="211"/>
      <c r="W118" s="212"/>
      <c r="X118" s="213"/>
      <c r="Y118" s="214"/>
      <c r="Z118" s="213"/>
      <c r="AA118" s="45"/>
      <c r="AB118" s="45"/>
      <c r="AC118" s="207"/>
      <c r="AD118" s="207"/>
      <c r="AE118" s="207"/>
      <c r="AF118" s="17"/>
      <c r="AG118" s="17"/>
      <c r="AH118" s="215"/>
      <c r="AI118" s="216"/>
      <c r="AJ118" s="217"/>
      <c r="AK118" s="210"/>
      <c r="AL118" s="210"/>
      <c r="AM118" s="210"/>
      <c r="AN118" s="218"/>
      <c r="AO118" s="210"/>
      <c r="AP118" s="219"/>
      <c r="AQ118" s="220"/>
      <c r="AR118" s="219"/>
      <c r="AS118" s="221"/>
      <c r="AT118" s="221"/>
      <c r="AU118" s="222"/>
      <c r="AV118" s="222"/>
      <c r="AW118" s="223"/>
      <c r="AX118" s="223"/>
      <c r="AY118" s="206"/>
      <c r="AZ118" s="224"/>
      <c r="BA118" s="219"/>
      <c r="BB118" s="219"/>
      <c r="BC118" s="219"/>
      <c r="BD118" s="219"/>
      <c r="BE118" s="219"/>
      <c r="BF118" s="219"/>
      <c r="BG118" s="219"/>
      <c r="BH118" s="219"/>
      <c r="BI118" s="219"/>
      <c r="BJ118" s="225"/>
      <c r="BK118" s="225"/>
      <c r="BL118" s="234"/>
      <c r="BM118" s="234"/>
      <c r="BN118" s="235"/>
      <c r="BO118" s="236" t="s">
        <v>383</v>
      </c>
      <c r="BP118" s="243" t="str">
        <f>VLOOKUP(BP116,B:AO,3,0)</f>
        <v>N/A</v>
      </c>
      <c r="BQ118" s="238" t="s">
        <v>378</v>
      </c>
      <c r="BR118" s="232"/>
      <c r="BS118" s="232"/>
      <c r="BT118" s="232"/>
    </row>
    <row r="119">
      <c r="A119" s="203"/>
      <c r="B119" s="204"/>
      <c r="C119" s="205"/>
      <c r="D119" s="205"/>
      <c r="E119" s="205"/>
      <c r="F119" s="206"/>
      <c r="G119" s="206"/>
      <c r="H119" s="39"/>
      <c r="I119" s="207"/>
      <c r="J119" s="208"/>
      <c r="K119" s="208"/>
      <c r="L119" s="207"/>
      <c r="M119" s="207"/>
      <c r="N119" s="209"/>
      <c r="O119" s="239"/>
      <c r="P119" s="209"/>
      <c r="Q119" s="210"/>
      <c r="R119" s="210"/>
      <c r="S119" s="211"/>
      <c r="T119" s="212"/>
      <c r="U119" s="211"/>
      <c r="V119" s="211"/>
      <c r="W119" s="212"/>
      <c r="X119" s="213"/>
      <c r="Y119" s="214"/>
      <c r="Z119" s="213"/>
      <c r="AA119" s="45"/>
      <c r="AB119" s="45"/>
      <c r="AC119" s="207"/>
      <c r="AD119" s="207"/>
      <c r="AE119" s="207"/>
      <c r="AF119" s="17"/>
      <c r="AG119" s="17"/>
      <c r="AH119" s="215"/>
      <c r="AI119" s="216"/>
      <c r="AJ119" s="217"/>
      <c r="AK119" s="210"/>
      <c r="AL119" s="210"/>
      <c r="AM119" s="210"/>
      <c r="AN119" s="218"/>
      <c r="AO119" s="210"/>
      <c r="AP119" s="219"/>
      <c r="AQ119" s="220"/>
      <c r="AR119" s="219"/>
      <c r="AS119" s="221"/>
      <c r="AT119" s="221"/>
      <c r="AU119" s="222"/>
      <c r="AV119" s="222"/>
      <c r="AW119" s="223"/>
      <c r="AX119" s="223"/>
      <c r="AY119" s="206"/>
      <c r="AZ119" s="224"/>
      <c r="BA119" s="219"/>
      <c r="BB119" s="219"/>
      <c r="BC119" s="219"/>
      <c r="BD119" s="219"/>
      <c r="BE119" s="219"/>
      <c r="BF119" s="219"/>
      <c r="BG119" s="219"/>
      <c r="BH119" s="219"/>
      <c r="BI119" s="219"/>
      <c r="BJ119" s="225"/>
      <c r="BK119" s="225"/>
      <c r="BL119" s="234"/>
      <c r="BM119" s="234"/>
      <c r="BN119" s="235"/>
      <c r="BO119" s="236" t="s">
        <v>384</v>
      </c>
      <c r="BP119" s="237" t="str">
        <f>VLOOKUP(BP116,B:AO,5,0)</f>
        <v>SERROLÂNDIA</v>
      </c>
      <c r="BQ119" s="238" t="s">
        <v>378</v>
      </c>
      <c r="BR119" s="232"/>
      <c r="BS119" s="232"/>
      <c r="BT119" s="232"/>
    </row>
    <row r="120">
      <c r="A120" s="203"/>
      <c r="B120" s="204"/>
      <c r="C120" s="205"/>
      <c r="D120" s="205"/>
      <c r="E120" s="205"/>
      <c r="F120" s="206"/>
      <c r="G120" s="206"/>
      <c r="H120" s="39"/>
      <c r="I120" s="207"/>
      <c r="J120" s="208"/>
      <c r="K120" s="208"/>
      <c r="L120" s="207"/>
      <c r="M120" s="207"/>
      <c r="N120" s="209"/>
      <c r="O120" s="239"/>
      <c r="P120" s="209"/>
      <c r="Q120" s="210"/>
      <c r="R120" s="210"/>
      <c r="S120" s="211"/>
      <c r="T120" s="212"/>
      <c r="U120" s="211"/>
      <c r="V120" s="211"/>
      <c r="W120" s="212"/>
      <c r="X120" s="213"/>
      <c r="Y120" s="214"/>
      <c r="Z120" s="213"/>
      <c r="AA120" s="45"/>
      <c r="AB120" s="45"/>
      <c r="AC120" s="207"/>
      <c r="AD120" s="207"/>
      <c r="AE120" s="207"/>
      <c r="AF120" s="17"/>
      <c r="AG120" s="17"/>
      <c r="AH120" s="215"/>
      <c r="AI120" s="216"/>
      <c r="AJ120" s="217"/>
      <c r="AK120" s="210"/>
      <c r="AL120" s="210"/>
      <c r="AM120" s="210"/>
      <c r="AN120" s="218"/>
      <c r="AO120" s="210"/>
      <c r="AP120" s="219"/>
      <c r="AQ120" s="220"/>
      <c r="AR120" s="219"/>
      <c r="AS120" s="221"/>
      <c r="AT120" s="221"/>
      <c r="AU120" s="222"/>
      <c r="AV120" s="222"/>
      <c r="AW120" s="223"/>
      <c r="AX120" s="223"/>
      <c r="AY120" s="206"/>
      <c r="AZ120" s="224"/>
      <c r="BA120" s="219"/>
      <c r="BB120" s="219"/>
      <c r="BC120" s="219"/>
      <c r="BD120" s="219"/>
      <c r="BE120" s="219"/>
      <c r="BF120" s="219"/>
      <c r="BG120" s="219"/>
      <c r="BH120" s="219"/>
      <c r="BI120" s="219"/>
      <c r="BJ120" s="225"/>
      <c r="BK120" s="225"/>
      <c r="BL120" s="234"/>
      <c r="BM120" s="234"/>
      <c r="BN120" s="235"/>
      <c r="BO120" s="236" t="s">
        <v>385</v>
      </c>
      <c r="BP120" s="241" t="s">
        <v>386</v>
      </c>
      <c r="BQ120" s="238" t="s">
        <v>378</v>
      </c>
      <c r="BR120" s="232"/>
      <c r="BS120" s="232"/>
      <c r="BT120" s="232"/>
    </row>
    <row r="121">
      <c r="A121" s="203"/>
      <c r="B121" s="204"/>
      <c r="C121" s="205"/>
      <c r="D121" s="205"/>
      <c r="E121" s="205"/>
      <c r="F121" s="206"/>
      <c r="G121" s="206"/>
      <c r="H121" s="39"/>
      <c r="I121" s="207"/>
      <c r="J121" s="208"/>
      <c r="K121" s="208"/>
      <c r="L121" s="207"/>
      <c r="M121" s="207"/>
      <c r="N121" s="209"/>
      <c r="O121" s="239"/>
      <c r="P121" s="209"/>
      <c r="Q121" s="210"/>
      <c r="R121" s="210"/>
      <c r="S121" s="211"/>
      <c r="T121" s="212"/>
      <c r="U121" s="211"/>
      <c r="V121" s="211"/>
      <c r="W121" s="212"/>
      <c r="X121" s="213"/>
      <c r="Y121" s="214"/>
      <c r="Z121" s="213"/>
      <c r="AA121" s="45"/>
      <c r="AB121" s="45"/>
      <c r="AC121" s="207"/>
      <c r="AD121" s="207"/>
      <c r="AE121" s="207"/>
      <c r="AF121" s="17"/>
      <c r="AG121" s="17"/>
      <c r="AH121" s="215"/>
      <c r="AI121" s="216"/>
      <c r="AJ121" s="217"/>
      <c r="AK121" s="210"/>
      <c r="AL121" s="210"/>
      <c r="AM121" s="210"/>
      <c r="AN121" s="218"/>
      <c r="AO121" s="210"/>
      <c r="AP121" s="219"/>
      <c r="AQ121" s="220"/>
      <c r="AR121" s="219"/>
      <c r="AS121" s="221"/>
      <c r="AT121" s="221"/>
      <c r="AU121" s="222"/>
      <c r="AV121" s="222"/>
      <c r="AW121" s="223"/>
      <c r="AX121" s="223"/>
      <c r="AY121" s="206"/>
      <c r="AZ121" s="224"/>
      <c r="BA121" s="219"/>
      <c r="BB121" s="219"/>
      <c r="BC121" s="219"/>
      <c r="BD121" s="219"/>
      <c r="BE121" s="219"/>
      <c r="BF121" s="219"/>
      <c r="BG121" s="219"/>
      <c r="BH121" s="219"/>
      <c r="BI121" s="219"/>
      <c r="BJ121" s="225"/>
      <c r="BK121" s="225"/>
      <c r="BL121" s="234"/>
      <c r="BM121" s="234"/>
      <c r="BN121" s="235"/>
      <c r="BO121" s="236" t="s">
        <v>387</v>
      </c>
      <c r="BP121" s="237" t="str">
        <f>VLOOKUP(BP116,B:AO,11,0)</f>
        <v>PLANO 7</v>
      </c>
      <c r="BQ121" s="238" t="s">
        <v>378</v>
      </c>
      <c r="BR121" s="232"/>
      <c r="BS121" s="232"/>
      <c r="BT121" s="232"/>
    </row>
    <row r="122">
      <c r="A122" s="203"/>
      <c r="B122" s="204"/>
      <c r="C122" s="205"/>
      <c r="D122" s="205"/>
      <c r="E122" s="205"/>
      <c r="F122" s="206"/>
      <c r="G122" s="206"/>
      <c r="H122" s="39"/>
      <c r="I122" s="207"/>
      <c r="J122" s="208"/>
      <c r="K122" s="208"/>
      <c r="L122" s="207"/>
      <c r="M122" s="207"/>
      <c r="N122" s="209"/>
      <c r="O122" s="239"/>
      <c r="P122" s="209"/>
      <c r="Q122" s="210"/>
      <c r="R122" s="210"/>
      <c r="S122" s="211"/>
      <c r="T122" s="212"/>
      <c r="U122" s="211"/>
      <c r="V122" s="211"/>
      <c r="W122" s="212"/>
      <c r="X122" s="213"/>
      <c r="Y122" s="214"/>
      <c r="Z122" s="213"/>
      <c r="AA122" s="45"/>
      <c r="AB122" s="45"/>
      <c r="AC122" s="207"/>
      <c r="AD122" s="207"/>
      <c r="AE122" s="207"/>
      <c r="AF122" s="17"/>
      <c r="AG122" s="17"/>
      <c r="AH122" s="215"/>
      <c r="AI122" s="216"/>
      <c r="AJ122" s="217"/>
      <c r="AK122" s="210"/>
      <c r="AL122" s="210"/>
      <c r="AM122" s="210"/>
      <c r="AN122" s="218"/>
      <c r="AO122" s="210"/>
      <c r="AP122" s="219"/>
      <c r="AQ122" s="220"/>
      <c r="AR122" s="219"/>
      <c r="AS122" s="221"/>
      <c r="AT122" s="221"/>
      <c r="AU122" s="222"/>
      <c r="AV122" s="222"/>
      <c r="AW122" s="223"/>
      <c r="AX122" s="223"/>
      <c r="AY122" s="206"/>
      <c r="AZ122" s="224"/>
      <c r="BA122" s="219"/>
      <c r="BB122" s="219"/>
      <c r="BC122" s="219"/>
      <c r="BD122" s="219"/>
      <c r="BE122" s="219"/>
      <c r="BF122" s="219"/>
      <c r="BG122" s="219"/>
      <c r="BH122" s="219"/>
      <c r="BI122" s="219"/>
      <c r="BJ122" s="225"/>
      <c r="BK122" s="225"/>
      <c r="BL122" s="234"/>
      <c r="BM122" s="234"/>
      <c r="BN122" s="235"/>
      <c r="BO122" s="236" t="s">
        <v>388</v>
      </c>
      <c r="BP122" s="237" t="str">
        <f>VLOOKUP(BP116,B:AO,12,0)</f>
        <v>LPT</v>
      </c>
      <c r="BQ122" s="238" t="s">
        <v>378</v>
      </c>
      <c r="BR122" s="232"/>
      <c r="BS122" s="232"/>
      <c r="BT122" s="232"/>
    </row>
    <row r="123">
      <c r="A123" s="203"/>
      <c r="B123" s="204"/>
      <c r="C123" s="205"/>
      <c r="D123" s="205"/>
      <c r="E123" s="205"/>
      <c r="F123" s="206"/>
      <c r="G123" s="206"/>
      <c r="H123" s="39"/>
      <c r="I123" s="207"/>
      <c r="J123" s="208"/>
      <c r="K123" s="208"/>
      <c r="L123" s="207"/>
      <c r="M123" s="207"/>
      <c r="N123" s="209"/>
      <c r="O123" s="239"/>
      <c r="P123" s="209"/>
      <c r="Q123" s="210"/>
      <c r="R123" s="210"/>
      <c r="S123" s="211"/>
      <c r="T123" s="212"/>
      <c r="U123" s="211"/>
      <c r="V123" s="211"/>
      <c r="W123" s="212"/>
      <c r="X123" s="213"/>
      <c r="Y123" s="214"/>
      <c r="Z123" s="213"/>
      <c r="AA123" s="45"/>
      <c r="AB123" s="45"/>
      <c r="AC123" s="207"/>
      <c r="AD123" s="207"/>
      <c r="AE123" s="207"/>
      <c r="AF123" s="17"/>
      <c r="AG123" s="17"/>
      <c r="AH123" s="215"/>
      <c r="AI123" s="216"/>
      <c r="AJ123" s="217"/>
      <c r="AK123" s="210"/>
      <c r="AL123" s="210"/>
      <c r="AM123" s="210"/>
      <c r="AN123" s="218"/>
      <c r="AO123" s="210"/>
      <c r="AP123" s="219"/>
      <c r="AQ123" s="220"/>
      <c r="AR123" s="219"/>
      <c r="AS123" s="221"/>
      <c r="AT123" s="221"/>
      <c r="AU123" s="222"/>
      <c r="AV123" s="222"/>
      <c r="AW123" s="223"/>
      <c r="AX123" s="223"/>
      <c r="AY123" s="206"/>
      <c r="AZ123" s="224"/>
      <c r="BA123" s="219"/>
      <c r="BB123" s="219"/>
      <c r="BC123" s="219"/>
      <c r="BD123" s="219"/>
      <c r="BE123" s="219"/>
      <c r="BF123" s="219"/>
      <c r="BG123" s="219"/>
      <c r="BH123" s="219"/>
      <c r="BI123" s="219"/>
      <c r="BJ123" s="225"/>
      <c r="BK123" s="225"/>
      <c r="BL123" s="234"/>
      <c r="BM123" s="234"/>
      <c r="BN123" s="235"/>
      <c r="BO123" s="236" t="s">
        <v>389</v>
      </c>
      <c r="BP123" s="237" t="str">
        <f>VLOOKUP(BP116,B:AO,10,0)</f>
        <v>RAFAEL SANTOS DA CRUZ - U469504</v>
      </c>
      <c r="BQ123" s="238" t="s">
        <v>378</v>
      </c>
      <c r="BR123" s="232"/>
      <c r="BS123" s="232"/>
      <c r="BT123" s="232"/>
    </row>
    <row r="124">
      <c r="A124" s="203"/>
      <c r="B124" s="204"/>
      <c r="C124" s="205"/>
      <c r="D124" s="205"/>
      <c r="E124" s="205"/>
      <c r="F124" s="206"/>
      <c r="G124" s="206"/>
      <c r="H124" s="39"/>
      <c r="I124" s="207"/>
      <c r="J124" s="208"/>
      <c r="K124" s="208"/>
      <c r="L124" s="207"/>
      <c r="M124" s="207"/>
      <c r="N124" s="209"/>
      <c r="O124" s="239"/>
      <c r="P124" s="209"/>
      <c r="Q124" s="210"/>
      <c r="R124" s="210"/>
      <c r="S124" s="211"/>
      <c r="T124" s="212"/>
      <c r="U124" s="211"/>
      <c r="V124" s="211"/>
      <c r="W124" s="212"/>
      <c r="X124" s="213"/>
      <c r="Y124" s="214"/>
      <c r="Z124" s="213"/>
      <c r="AA124" s="45"/>
      <c r="AB124" s="45"/>
      <c r="AC124" s="207"/>
      <c r="AD124" s="207"/>
      <c r="AE124" s="207"/>
      <c r="AF124" s="17"/>
      <c r="AG124" s="17"/>
      <c r="AH124" s="215"/>
      <c r="AI124" s="216"/>
      <c r="AJ124" s="217"/>
      <c r="AK124" s="210"/>
      <c r="AL124" s="210"/>
      <c r="AM124" s="210"/>
      <c r="AN124" s="218"/>
      <c r="AO124" s="210"/>
      <c r="AP124" s="219"/>
      <c r="AQ124" s="220"/>
      <c r="AR124" s="219"/>
      <c r="AS124" s="221"/>
      <c r="AT124" s="221"/>
      <c r="AU124" s="222"/>
      <c r="AV124" s="222"/>
      <c r="AW124" s="223"/>
      <c r="AX124" s="223"/>
      <c r="AY124" s="206"/>
      <c r="AZ124" s="224"/>
      <c r="BA124" s="219"/>
      <c r="BB124" s="219"/>
      <c r="BC124" s="219"/>
      <c r="BD124" s="219"/>
      <c r="BE124" s="219"/>
      <c r="BF124" s="219"/>
      <c r="BG124" s="219"/>
      <c r="BH124" s="219"/>
      <c r="BI124" s="219"/>
      <c r="BJ124" s="225"/>
      <c r="BK124" s="225"/>
      <c r="BL124" s="234"/>
      <c r="BM124" s="234"/>
      <c r="BN124" s="235"/>
      <c r="BO124" s="236" t="s">
        <v>390</v>
      </c>
      <c r="BP124" s="237" t="str">
        <f>VLOOKUP(BP116,B:L,8,0)</f>
        <v>LUCIANO NUNES DA SILVA - MRA252517</v>
      </c>
      <c r="BQ124" s="238" t="s">
        <v>378</v>
      </c>
      <c r="BR124" s="232"/>
      <c r="BS124" s="232"/>
      <c r="BT124" s="232"/>
    </row>
    <row r="125">
      <c r="A125" s="203"/>
      <c r="B125" s="204"/>
      <c r="C125" s="205"/>
      <c r="D125" s="205"/>
      <c r="E125" s="205"/>
      <c r="F125" s="206"/>
      <c r="G125" s="206"/>
      <c r="H125" s="39"/>
      <c r="I125" s="207"/>
      <c r="J125" s="208"/>
      <c r="K125" s="208"/>
      <c r="L125" s="207"/>
      <c r="M125" s="207"/>
      <c r="N125" s="209"/>
      <c r="O125" s="239"/>
      <c r="P125" s="209"/>
      <c r="Q125" s="210"/>
      <c r="R125" s="210"/>
      <c r="S125" s="211"/>
      <c r="T125" s="212"/>
      <c r="U125" s="211"/>
      <c r="V125" s="211"/>
      <c r="W125" s="212"/>
      <c r="X125" s="213"/>
      <c r="Y125" s="214"/>
      <c r="Z125" s="213"/>
      <c r="AA125" s="45"/>
      <c r="AB125" s="45"/>
      <c r="AC125" s="207"/>
      <c r="AD125" s="207"/>
      <c r="AE125" s="207"/>
      <c r="AF125" s="17"/>
      <c r="AG125" s="17"/>
      <c r="AH125" s="215"/>
      <c r="AI125" s="216"/>
      <c r="AJ125" s="217"/>
      <c r="AK125" s="210"/>
      <c r="AL125" s="210"/>
      <c r="AM125" s="210"/>
      <c r="AN125" s="218"/>
      <c r="AO125" s="210"/>
      <c r="AP125" s="219"/>
      <c r="AQ125" s="220"/>
      <c r="AR125" s="219"/>
      <c r="AS125" s="221"/>
      <c r="AT125" s="221"/>
      <c r="AU125" s="222"/>
      <c r="AV125" s="222"/>
      <c r="AW125" s="223"/>
      <c r="AX125" s="223"/>
      <c r="AY125" s="206"/>
      <c r="AZ125" s="224"/>
      <c r="BA125" s="219"/>
      <c r="BB125" s="219"/>
      <c r="BC125" s="219"/>
      <c r="BD125" s="219"/>
      <c r="BE125" s="219"/>
      <c r="BF125" s="219"/>
      <c r="BG125" s="219"/>
      <c r="BH125" s="219"/>
      <c r="BI125" s="219"/>
      <c r="BJ125" s="225"/>
      <c r="BK125" s="225"/>
      <c r="BL125" s="234"/>
      <c r="BM125" s="234"/>
      <c r="BN125" s="235"/>
      <c r="BO125" s="236" t="s">
        <v>391</v>
      </c>
      <c r="BP125" s="237" t="str">
        <f>VLOOKUP(BP116,B:J,9,0)</f>
        <v>GILVANDO RIOS DA CRUZ - NTS025538</v>
      </c>
      <c r="BQ125" s="238" t="s">
        <v>378</v>
      </c>
      <c r="BR125" s="232"/>
      <c r="BS125" s="232"/>
      <c r="BT125" s="232"/>
    </row>
    <row r="126">
      <c r="A126" s="203"/>
      <c r="B126" s="204"/>
      <c r="C126" s="205"/>
      <c r="D126" s="205"/>
      <c r="E126" s="205"/>
      <c r="F126" s="206"/>
      <c r="G126" s="206"/>
      <c r="H126" s="39"/>
      <c r="I126" s="207"/>
      <c r="J126" s="208"/>
      <c r="K126" s="208"/>
      <c r="L126" s="207"/>
      <c r="M126" s="207"/>
      <c r="N126" s="209"/>
      <c r="O126" s="239"/>
      <c r="P126" s="209"/>
      <c r="Q126" s="210"/>
      <c r="R126" s="210"/>
      <c r="S126" s="211"/>
      <c r="T126" s="212"/>
      <c r="U126" s="211"/>
      <c r="V126" s="211"/>
      <c r="W126" s="212"/>
      <c r="X126" s="213"/>
      <c r="Y126" s="214"/>
      <c r="Z126" s="213"/>
      <c r="AA126" s="45"/>
      <c r="AB126" s="45"/>
      <c r="AC126" s="207"/>
      <c r="AD126" s="207"/>
      <c r="AE126" s="207"/>
      <c r="AF126" s="17"/>
      <c r="AG126" s="17"/>
      <c r="AH126" s="215"/>
      <c r="AI126" s="216"/>
      <c r="AJ126" s="217"/>
      <c r="AK126" s="210"/>
      <c r="AL126" s="210"/>
      <c r="AM126" s="210"/>
      <c r="AN126" s="218"/>
      <c r="AO126" s="210"/>
      <c r="AP126" s="219"/>
      <c r="AQ126" s="220"/>
      <c r="AR126" s="219"/>
      <c r="AS126" s="221"/>
      <c r="AT126" s="221"/>
      <c r="AU126" s="222"/>
      <c r="AV126" s="222"/>
      <c r="AW126" s="223"/>
      <c r="AX126" s="223"/>
      <c r="AY126" s="206"/>
      <c r="AZ126" s="224"/>
      <c r="BA126" s="219"/>
      <c r="BB126" s="219"/>
      <c r="BC126" s="219"/>
      <c r="BD126" s="219"/>
      <c r="BE126" s="219"/>
      <c r="BF126" s="219"/>
      <c r="BG126" s="219"/>
      <c r="BH126" s="219"/>
      <c r="BI126" s="219"/>
      <c r="BJ126" s="225"/>
      <c r="BK126" s="225"/>
      <c r="BL126" s="234"/>
      <c r="BM126" s="234"/>
      <c r="BN126" s="235"/>
      <c r="BO126" s="236" t="s">
        <v>392</v>
      </c>
      <c r="BP126" s="417" t="str">
        <f>VLOOKUP(BP116,B:AO,21,0)</f>
        <v>2025-163228</v>
      </c>
      <c r="BQ126" s="238" t="s">
        <v>378</v>
      </c>
      <c r="BR126" s="232"/>
      <c r="BS126" s="232"/>
      <c r="BT126" s="232"/>
    </row>
    <row r="127">
      <c r="A127" s="203"/>
      <c r="B127" s="204"/>
      <c r="C127" s="205"/>
      <c r="D127" s="205"/>
      <c r="E127" s="205"/>
      <c r="F127" s="206"/>
      <c r="G127" s="206"/>
      <c r="H127" s="39"/>
      <c r="I127" s="207"/>
      <c r="J127" s="208"/>
      <c r="K127" s="208"/>
      <c r="L127" s="207"/>
      <c r="M127" s="207"/>
      <c r="N127" s="209"/>
      <c r="O127" s="239"/>
      <c r="P127" s="209"/>
      <c r="Q127" s="210"/>
      <c r="R127" s="210"/>
      <c r="S127" s="211"/>
      <c r="T127" s="212"/>
      <c r="U127" s="211"/>
      <c r="V127" s="211"/>
      <c r="W127" s="212"/>
      <c r="X127" s="213"/>
      <c r="Y127" s="214"/>
      <c r="Z127" s="213"/>
      <c r="AA127" s="45"/>
      <c r="AB127" s="45"/>
      <c r="AC127" s="207"/>
      <c r="AD127" s="207"/>
      <c r="AE127" s="207"/>
      <c r="AF127" s="17"/>
      <c r="AG127" s="17"/>
      <c r="AH127" s="215"/>
      <c r="AI127" s="216"/>
      <c r="AJ127" s="217"/>
      <c r="AK127" s="210"/>
      <c r="AL127" s="210"/>
      <c r="AM127" s="210"/>
      <c r="AN127" s="218"/>
      <c r="AO127" s="210"/>
      <c r="AP127" s="219"/>
      <c r="AQ127" s="220"/>
      <c r="AR127" s="219"/>
      <c r="AS127" s="221"/>
      <c r="AT127" s="221"/>
      <c r="AU127" s="222"/>
      <c r="AV127" s="222"/>
      <c r="AW127" s="223"/>
      <c r="AX127" s="223"/>
      <c r="AY127" s="206"/>
      <c r="AZ127" s="224"/>
      <c r="BA127" s="219"/>
      <c r="BB127" s="219"/>
      <c r="BC127" s="219"/>
      <c r="BD127" s="219"/>
      <c r="BE127" s="219"/>
      <c r="BF127" s="219"/>
      <c r="BG127" s="219"/>
      <c r="BH127" s="219"/>
      <c r="BI127" s="219"/>
      <c r="BJ127" s="225"/>
      <c r="BK127" s="225"/>
      <c r="BL127" s="234"/>
      <c r="BM127" s="234"/>
      <c r="BN127" s="235"/>
      <c r="BO127" s="236" t="s">
        <v>393</v>
      </c>
      <c r="BP127" s="237" t="str">
        <f>VLOOKUP(BP116,B:AO,40,0)</f>
        <v>2026-1-119305</v>
      </c>
      <c r="BQ127" s="238" t="s">
        <v>378</v>
      </c>
      <c r="BR127" s="232"/>
      <c r="BS127" s="232"/>
      <c r="BT127" s="232"/>
    </row>
    <row r="128">
      <c r="A128" s="203"/>
      <c r="B128" s="204"/>
      <c r="C128" s="205"/>
      <c r="D128" s="205"/>
      <c r="E128" s="205"/>
      <c r="F128" s="206"/>
      <c r="G128" s="206"/>
      <c r="H128" s="39"/>
      <c r="I128" s="207"/>
      <c r="J128" s="208"/>
      <c r="K128" s="208"/>
      <c r="L128" s="207"/>
      <c r="M128" s="207"/>
      <c r="N128" s="209"/>
      <c r="O128" s="239"/>
      <c r="P128" s="209"/>
      <c r="Q128" s="210"/>
      <c r="R128" s="210"/>
      <c r="S128" s="211"/>
      <c r="T128" s="212"/>
      <c r="U128" s="211"/>
      <c r="V128" s="211"/>
      <c r="W128" s="212"/>
      <c r="X128" s="213"/>
      <c r="Y128" s="214"/>
      <c r="Z128" s="213"/>
      <c r="AA128" s="45"/>
      <c r="AB128" s="45"/>
      <c r="AC128" s="207"/>
      <c r="AD128" s="207"/>
      <c r="AE128" s="207"/>
      <c r="AF128" s="17"/>
      <c r="AG128" s="17"/>
      <c r="AH128" s="215"/>
      <c r="AI128" s="216"/>
      <c r="AJ128" s="217"/>
      <c r="AK128" s="210"/>
      <c r="AL128" s="210"/>
      <c r="AM128" s="210"/>
      <c r="AN128" s="218"/>
      <c r="AO128" s="210"/>
      <c r="AP128" s="219"/>
      <c r="AQ128" s="220"/>
      <c r="AR128" s="219"/>
      <c r="AS128" s="221"/>
      <c r="AT128" s="221"/>
      <c r="AU128" s="222"/>
      <c r="AV128" s="222"/>
      <c r="AW128" s="223"/>
      <c r="AX128" s="223"/>
      <c r="AY128" s="206"/>
      <c r="AZ128" s="224"/>
      <c r="BA128" s="219"/>
      <c r="BB128" s="219"/>
      <c r="BC128" s="219"/>
      <c r="BD128" s="219"/>
      <c r="BE128" s="219"/>
      <c r="BF128" s="219"/>
      <c r="BG128" s="219"/>
      <c r="BH128" s="219"/>
      <c r="BI128" s="219"/>
      <c r="BJ128" s="225"/>
      <c r="BK128" s="225"/>
      <c r="BL128" s="234"/>
      <c r="BM128" s="234"/>
      <c r="BN128" s="235"/>
      <c r="BO128" s="236" t="s">
        <v>394</v>
      </c>
      <c r="BP128" s="245">
        <f>VLOOKUP(BP116,B:AO,39,0)</f>
        <v>46053</v>
      </c>
      <c r="BQ128" s="238" t="s">
        <v>378</v>
      </c>
      <c r="BR128" s="232"/>
      <c r="BS128" s="232"/>
      <c r="BT128" s="232"/>
    </row>
    <row r="129">
      <c r="A129" s="203"/>
      <c r="B129" s="204"/>
      <c r="C129" s="205"/>
      <c r="D129" s="205"/>
      <c r="E129" s="205"/>
      <c r="F129" s="206"/>
      <c r="G129" s="206"/>
      <c r="H129" s="39"/>
      <c r="I129" s="207"/>
      <c r="J129" s="208"/>
      <c r="K129" s="208"/>
      <c r="L129" s="207"/>
      <c r="M129" s="207"/>
      <c r="N129" s="209"/>
      <c r="O129" s="239"/>
      <c r="P129" s="209"/>
      <c r="Q129" s="210"/>
      <c r="R129" s="210"/>
      <c r="S129" s="211"/>
      <c r="T129" s="212"/>
      <c r="U129" s="211"/>
      <c r="V129" s="211"/>
      <c r="W129" s="212"/>
      <c r="X129" s="213"/>
      <c r="Y129" s="214"/>
      <c r="Z129" s="213"/>
      <c r="AA129" s="45"/>
      <c r="AB129" s="45"/>
      <c r="AC129" s="207"/>
      <c r="AD129" s="207"/>
      <c r="AE129" s="207"/>
      <c r="AF129" s="17"/>
      <c r="AG129" s="17"/>
      <c r="AH129" s="215"/>
      <c r="AI129" s="216"/>
      <c r="AJ129" s="217"/>
      <c r="AK129" s="210"/>
      <c r="AL129" s="210"/>
      <c r="AM129" s="210"/>
      <c r="AN129" s="218"/>
      <c r="AO129" s="210"/>
      <c r="AP129" s="219"/>
      <c r="AQ129" s="220"/>
      <c r="AR129" s="219"/>
      <c r="AS129" s="221"/>
      <c r="AT129" s="221"/>
      <c r="AU129" s="222"/>
      <c r="AV129" s="222"/>
      <c r="AW129" s="223"/>
      <c r="AX129" s="223"/>
      <c r="AY129" s="206"/>
      <c r="AZ129" s="224"/>
      <c r="BA129" s="219"/>
      <c r="BB129" s="219"/>
      <c r="BC129" s="219"/>
      <c r="BD129" s="219"/>
      <c r="BE129" s="219"/>
      <c r="BF129" s="219"/>
      <c r="BG129" s="219"/>
      <c r="BH129" s="219"/>
      <c r="BI129" s="219"/>
      <c r="BJ129" s="225"/>
      <c r="BK129" s="225"/>
      <c r="BL129" s="234"/>
      <c r="BM129" s="234"/>
      <c r="BN129" s="235"/>
      <c r="BO129" s="236" t="s">
        <v>395</v>
      </c>
      <c r="BP129" s="237">
        <f>VLOOKUP(BP116,B:AO,32,0)</f>
        <v>20</v>
      </c>
      <c r="BQ129" s="238" t="s">
        <v>378</v>
      </c>
      <c r="BR129" s="232"/>
      <c r="BS129" s="232"/>
      <c r="BT129" s="232"/>
    </row>
    <row r="130">
      <c r="A130" s="203"/>
      <c r="B130" s="204"/>
      <c r="C130" s="205"/>
      <c r="D130" s="205"/>
      <c r="E130" s="205"/>
      <c r="F130" s="206"/>
      <c r="G130" s="206"/>
      <c r="H130" s="39"/>
      <c r="I130" s="207"/>
      <c r="J130" s="208"/>
      <c r="K130" s="208"/>
      <c r="L130" s="207"/>
      <c r="M130" s="207"/>
      <c r="N130" s="209"/>
      <c r="O130" s="239"/>
      <c r="P130" s="209"/>
      <c r="Q130" s="210"/>
      <c r="R130" s="210"/>
      <c r="S130" s="211"/>
      <c r="T130" s="212"/>
      <c r="U130" s="211"/>
      <c r="V130" s="211"/>
      <c r="W130" s="212"/>
      <c r="X130" s="213"/>
      <c r="Y130" s="214"/>
      <c r="Z130" s="213"/>
      <c r="AA130" s="45"/>
      <c r="AB130" s="45"/>
      <c r="AC130" s="207"/>
      <c r="AD130" s="207"/>
      <c r="AE130" s="207"/>
      <c r="AF130" s="17"/>
      <c r="AG130" s="17"/>
      <c r="AH130" s="215"/>
      <c r="AI130" s="216"/>
      <c r="AJ130" s="217"/>
      <c r="AK130" s="210"/>
      <c r="AL130" s="210"/>
      <c r="AM130" s="210"/>
      <c r="AN130" s="218"/>
      <c r="AO130" s="210"/>
      <c r="AP130" s="219"/>
      <c r="AQ130" s="220"/>
      <c r="AR130" s="219"/>
      <c r="AS130" s="221"/>
      <c r="AT130" s="221"/>
      <c r="AU130" s="222"/>
      <c r="AV130" s="222"/>
      <c r="AW130" s="223"/>
      <c r="AX130" s="223"/>
      <c r="AY130" s="206"/>
      <c r="AZ130" s="224"/>
      <c r="BA130" s="219"/>
      <c r="BB130" s="219"/>
      <c r="BC130" s="219"/>
      <c r="BD130" s="219"/>
      <c r="BE130" s="219"/>
      <c r="BF130" s="219"/>
      <c r="BG130" s="219"/>
      <c r="BH130" s="219"/>
      <c r="BI130" s="219"/>
      <c r="BJ130" s="225"/>
      <c r="BK130" s="225"/>
      <c r="BL130" s="234"/>
      <c r="BM130" s="234"/>
      <c r="BN130" s="240"/>
      <c r="BO130" s="236" t="s">
        <v>396</v>
      </c>
      <c r="BP130" s="237" t="str">
        <f>IF(BP134=0,"N/A",BP134)</f>
        <v>N/A</v>
      </c>
      <c r="BQ130" s="246" t="s">
        <v>397</v>
      </c>
      <c r="BR130" s="232"/>
      <c r="BS130" s="232"/>
      <c r="BT130" s="232"/>
    </row>
    <row r="131">
      <c r="A131" s="203"/>
      <c r="B131" s="204"/>
      <c r="C131" s="205"/>
      <c r="D131" s="205"/>
      <c r="E131" s="205"/>
      <c r="F131" s="206"/>
      <c r="G131" s="206"/>
      <c r="H131" s="39"/>
      <c r="I131" s="207"/>
      <c r="J131" s="208"/>
      <c r="K131" s="208"/>
      <c r="L131" s="207"/>
      <c r="M131" s="207"/>
      <c r="N131" s="209"/>
      <c r="O131" s="239"/>
      <c r="P131" s="209"/>
      <c r="Q131" s="210"/>
      <c r="R131" s="210"/>
      <c r="S131" s="211"/>
      <c r="T131" s="212"/>
      <c r="U131" s="211"/>
      <c r="V131" s="211"/>
      <c r="W131" s="212"/>
      <c r="X131" s="213"/>
      <c r="Y131" s="214"/>
      <c r="Z131" s="213"/>
      <c r="AA131" s="45"/>
      <c r="AB131" s="45"/>
      <c r="AC131" s="207"/>
      <c r="AD131" s="207"/>
      <c r="AE131" s="207"/>
      <c r="AF131" s="17"/>
      <c r="AG131" s="17"/>
      <c r="AH131" s="215"/>
      <c r="AI131" s="216"/>
      <c r="AJ131" s="217"/>
      <c r="AK131" s="210"/>
      <c r="AL131" s="210"/>
      <c r="AM131" s="210"/>
      <c r="AN131" s="218"/>
      <c r="AO131" s="210"/>
      <c r="AP131" s="219"/>
      <c r="AQ131" s="220"/>
      <c r="AR131" s="219"/>
      <c r="AS131" s="221"/>
      <c r="AT131" s="221"/>
      <c r="AU131" s="222"/>
      <c r="AV131" s="222"/>
      <c r="AW131" s="223"/>
      <c r="AX131" s="223"/>
      <c r="AY131" s="206"/>
      <c r="AZ131" s="224"/>
      <c r="BA131" s="219"/>
      <c r="BB131" s="219"/>
      <c r="BC131" s="219"/>
      <c r="BD131" s="219"/>
      <c r="BE131" s="219"/>
      <c r="BF131" s="219"/>
      <c r="BG131" s="219"/>
      <c r="BH131" s="219"/>
      <c r="BI131" s="219"/>
      <c r="BJ131" s="225"/>
      <c r="BK131" s="225"/>
      <c r="BL131" s="234"/>
      <c r="BM131" s="234"/>
      <c r="BN131" s="240"/>
      <c r="BO131" s="236" t="s">
        <v>398</v>
      </c>
      <c r="BP131" s="247">
        <v>0.0</v>
      </c>
      <c r="BQ131" s="246" t="s">
        <v>399</v>
      </c>
      <c r="BR131" s="232"/>
      <c r="BS131" s="232"/>
      <c r="BT131" s="232"/>
    </row>
    <row r="132">
      <c r="A132" s="203"/>
      <c r="B132" s="204"/>
      <c r="C132" s="205"/>
      <c r="D132" s="205"/>
      <c r="E132" s="205"/>
      <c r="F132" s="206"/>
      <c r="G132" s="206"/>
      <c r="H132" s="39"/>
      <c r="I132" s="207"/>
      <c r="J132" s="208"/>
      <c r="K132" s="208"/>
      <c r="L132" s="207"/>
      <c r="M132" s="207"/>
      <c r="N132" s="209"/>
      <c r="O132" s="239"/>
      <c r="P132" s="209"/>
      <c r="Q132" s="210"/>
      <c r="R132" s="210"/>
      <c r="S132" s="211"/>
      <c r="T132" s="212"/>
      <c r="U132" s="211"/>
      <c r="V132" s="211"/>
      <c r="W132" s="212"/>
      <c r="X132" s="213"/>
      <c r="Y132" s="214"/>
      <c r="Z132" s="213"/>
      <c r="AA132" s="45"/>
      <c r="AB132" s="45"/>
      <c r="AC132" s="207"/>
      <c r="AD132" s="207"/>
      <c r="AE132" s="207"/>
      <c r="AF132" s="17"/>
      <c r="AG132" s="17"/>
      <c r="AH132" s="215"/>
      <c r="AI132" s="216"/>
      <c r="AJ132" s="217"/>
      <c r="AK132" s="210"/>
      <c r="AL132" s="210"/>
      <c r="AM132" s="210"/>
      <c r="AN132" s="218"/>
      <c r="AO132" s="210"/>
      <c r="AP132" s="219"/>
      <c r="AQ132" s="220"/>
      <c r="AR132" s="219"/>
      <c r="AS132" s="221"/>
      <c r="AT132" s="221"/>
      <c r="AU132" s="222"/>
      <c r="AV132" s="222"/>
      <c r="AW132" s="223"/>
      <c r="AX132" s="223"/>
      <c r="AY132" s="206"/>
      <c r="AZ132" s="224"/>
      <c r="BA132" s="219"/>
      <c r="BB132" s="219"/>
      <c r="BC132" s="219"/>
      <c r="BD132" s="219"/>
      <c r="BE132" s="219"/>
      <c r="BF132" s="219"/>
      <c r="BG132" s="219"/>
      <c r="BH132" s="219"/>
      <c r="BI132" s="219"/>
      <c r="BJ132" s="225"/>
      <c r="BK132" s="225"/>
      <c r="BL132" s="234"/>
      <c r="BM132" s="234"/>
      <c r="BN132" s="240"/>
      <c r="BO132" s="236" t="s">
        <v>400</v>
      </c>
      <c r="BP132" s="248"/>
      <c r="BQ132" s="246" t="s">
        <v>401</v>
      </c>
      <c r="BR132" s="232"/>
      <c r="BS132" s="232"/>
      <c r="BT132" s="232"/>
    </row>
    <row r="133">
      <c r="A133" s="203"/>
      <c r="B133" s="204"/>
      <c r="C133" s="205"/>
      <c r="D133" s="205"/>
      <c r="E133" s="205"/>
      <c r="F133" s="206"/>
      <c r="G133" s="206"/>
      <c r="H133" s="39"/>
      <c r="I133" s="207"/>
      <c r="J133" s="208"/>
      <c r="K133" s="208"/>
      <c r="L133" s="207"/>
      <c r="M133" s="207"/>
      <c r="N133" s="209"/>
      <c r="O133" s="239"/>
      <c r="P133" s="209"/>
      <c r="Q133" s="210"/>
      <c r="R133" s="210"/>
      <c r="S133" s="211"/>
      <c r="T133" s="212"/>
      <c r="U133" s="211"/>
      <c r="V133" s="211"/>
      <c r="W133" s="212"/>
      <c r="X133" s="213"/>
      <c r="Y133" s="214"/>
      <c r="Z133" s="213"/>
      <c r="AA133" s="45"/>
      <c r="AB133" s="45"/>
      <c r="AC133" s="207"/>
      <c r="AD133" s="207"/>
      <c r="AE133" s="207"/>
      <c r="AF133" s="17"/>
      <c r="AG133" s="17"/>
      <c r="AH133" s="215"/>
      <c r="AI133" s="216"/>
      <c r="AJ133" s="217"/>
      <c r="AK133" s="210"/>
      <c r="AL133" s="210"/>
      <c r="AM133" s="210"/>
      <c r="AN133" s="218"/>
      <c r="AO133" s="210"/>
      <c r="AP133" s="219"/>
      <c r="AQ133" s="220"/>
      <c r="AR133" s="219"/>
      <c r="AS133" s="221"/>
      <c r="AT133" s="221"/>
      <c r="AU133" s="222"/>
      <c r="AV133" s="222"/>
      <c r="AW133" s="223"/>
      <c r="AX133" s="223"/>
      <c r="AY133" s="206"/>
      <c r="AZ133" s="224"/>
      <c r="BA133" s="219"/>
      <c r="BB133" s="219"/>
      <c r="BC133" s="219"/>
      <c r="BD133" s="219"/>
      <c r="BE133" s="219"/>
      <c r="BF133" s="219"/>
      <c r="BG133" s="219"/>
      <c r="BH133" s="219"/>
      <c r="BI133" s="219"/>
      <c r="BJ133" s="225"/>
      <c r="BK133" s="226"/>
      <c r="BL133" s="249"/>
      <c r="BM133" s="249"/>
      <c r="BN133" s="31"/>
      <c r="BO133" s="32"/>
      <c r="BP133" s="61" t="s">
        <v>402</v>
      </c>
      <c r="BQ133" s="32"/>
      <c r="BR133" s="32"/>
      <c r="BS133" s="32"/>
      <c r="BT133" s="32"/>
    </row>
    <row r="134">
      <c r="A134" s="203"/>
      <c r="B134" s="204"/>
      <c r="C134" s="205"/>
      <c r="D134" s="205"/>
      <c r="E134" s="205"/>
      <c r="F134" s="206"/>
      <c r="G134" s="206"/>
      <c r="H134" s="39"/>
      <c r="I134" s="207"/>
      <c r="J134" s="208"/>
      <c r="K134" s="208"/>
      <c r="L134" s="207"/>
      <c r="M134" s="207"/>
      <c r="N134" s="209"/>
      <c r="O134" s="239"/>
      <c r="P134" s="209"/>
      <c r="Q134" s="210"/>
      <c r="R134" s="210"/>
      <c r="S134" s="211"/>
      <c r="T134" s="212"/>
      <c r="U134" s="211"/>
      <c r="V134" s="211"/>
      <c r="W134" s="212"/>
      <c r="X134" s="213"/>
      <c r="Y134" s="214"/>
      <c r="Z134" s="213"/>
      <c r="AA134" s="45"/>
      <c r="AB134" s="45"/>
      <c r="AC134" s="207"/>
      <c r="AD134" s="207"/>
      <c r="AE134" s="207"/>
      <c r="AF134" s="17"/>
      <c r="AG134" s="17"/>
      <c r="AH134" s="215"/>
      <c r="AI134" s="216"/>
      <c r="AJ134" s="217"/>
      <c r="AK134" s="210"/>
      <c r="AL134" s="210"/>
      <c r="AM134" s="210"/>
      <c r="AN134" s="218"/>
      <c r="AO134" s="210"/>
      <c r="AP134" s="219"/>
      <c r="AQ134" s="220"/>
      <c r="AR134" s="219"/>
      <c r="AS134" s="221"/>
      <c r="AT134" s="221"/>
      <c r="AU134" s="222"/>
      <c r="AV134" s="222"/>
      <c r="AW134" s="223"/>
      <c r="AX134" s="223"/>
      <c r="AY134" s="206"/>
      <c r="AZ134" s="224"/>
      <c r="BA134" s="219"/>
      <c r="BB134" s="219"/>
      <c r="BC134" s="219"/>
      <c r="BD134" s="219"/>
      <c r="BE134" s="219"/>
      <c r="BF134" s="219"/>
      <c r="BG134" s="219"/>
      <c r="BH134" s="219"/>
      <c r="BI134" s="219"/>
      <c r="BJ134" s="225"/>
      <c r="BK134" s="226"/>
      <c r="BL134" s="249"/>
      <c r="BM134" s="249"/>
      <c r="BN134" s="31"/>
      <c r="BO134" s="250" t="s">
        <v>403</v>
      </c>
      <c r="BP134" s="251">
        <f>VLOOKUP(BP116,B:AO,29,0)</f>
        <v>0</v>
      </c>
      <c r="BQ134" s="32"/>
      <c r="BR134" s="32"/>
      <c r="BS134" s="32"/>
      <c r="BT134" s="32"/>
    </row>
    <row r="135">
      <c r="A135" s="203"/>
      <c r="B135" s="204"/>
      <c r="C135" s="205"/>
      <c r="D135" s="205"/>
      <c r="E135" s="205"/>
      <c r="F135" s="206"/>
      <c r="G135" s="206"/>
      <c r="H135" s="39"/>
      <c r="I135" s="207"/>
      <c r="J135" s="208"/>
      <c r="K135" s="208"/>
      <c r="L135" s="207"/>
      <c r="M135" s="207"/>
      <c r="N135" s="209"/>
      <c r="O135" s="239"/>
      <c r="P135" s="209"/>
      <c r="Q135" s="210"/>
      <c r="R135" s="210"/>
      <c r="S135" s="211"/>
      <c r="T135" s="212"/>
      <c r="U135" s="211"/>
      <c r="V135" s="211"/>
      <c r="W135" s="212"/>
      <c r="X135" s="213"/>
      <c r="Y135" s="214"/>
      <c r="Z135" s="213"/>
      <c r="AA135" s="45"/>
      <c r="AB135" s="45"/>
      <c r="AC135" s="207"/>
      <c r="AD135" s="207"/>
      <c r="AE135" s="207"/>
      <c r="AF135" s="17"/>
      <c r="AG135" s="17"/>
      <c r="AH135" s="215"/>
      <c r="AI135" s="216"/>
      <c r="AJ135" s="217"/>
      <c r="AK135" s="210"/>
      <c r="AL135" s="210"/>
      <c r="AM135" s="210"/>
      <c r="AN135" s="218"/>
      <c r="AO135" s="210"/>
      <c r="AP135" s="219"/>
      <c r="AQ135" s="220"/>
      <c r="AR135" s="219"/>
      <c r="AS135" s="221"/>
      <c r="AT135" s="221"/>
      <c r="AU135" s="222"/>
      <c r="AV135" s="222"/>
      <c r="AW135" s="223"/>
      <c r="AX135" s="223"/>
      <c r="AY135" s="206"/>
      <c r="AZ135" s="224"/>
      <c r="BA135" s="219"/>
      <c r="BB135" s="219"/>
      <c r="BC135" s="219"/>
      <c r="BD135" s="219"/>
      <c r="BE135" s="219"/>
      <c r="BF135" s="219"/>
      <c r="BG135" s="219"/>
      <c r="BH135" s="219"/>
      <c r="BI135" s="219"/>
      <c r="BJ135" s="225"/>
      <c r="BK135" s="225"/>
      <c r="BL135" s="234"/>
      <c r="BM135" s="234"/>
      <c r="BN135" s="31"/>
      <c r="BO135" s="32"/>
      <c r="BP135" s="32"/>
      <c r="BQ135" s="32"/>
      <c r="BR135" s="32"/>
      <c r="BS135" s="32"/>
      <c r="BT135" s="32"/>
    </row>
    <row r="136">
      <c r="A136" s="203"/>
      <c r="B136" s="204"/>
      <c r="C136" s="205"/>
      <c r="D136" s="205"/>
      <c r="E136" s="205"/>
      <c r="F136" s="206"/>
      <c r="G136" s="206"/>
      <c r="H136" s="39"/>
      <c r="I136" s="207"/>
      <c r="J136" s="208"/>
      <c r="K136" s="208"/>
      <c r="L136" s="207"/>
      <c r="M136" s="207"/>
      <c r="N136" s="209"/>
      <c r="O136" s="239"/>
      <c r="P136" s="209"/>
      <c r="Q136" s="210"/>
      <c r="R136" s="210"/>
      <c r="S136" s="211"/>
      <c r="T136" s="212"/>
      <c r="U136" s="32"/>
      <c r="V136" s="211"/>
      <c r="W136" s="212"/>
      <c r="X136" s="213"/>
      <c r="Y136" s="214"/>
      <c r="Z136" s="213"/>
      <c r="AA136" s="45"/>
      <c r="AB136" s="45"/>
      <c r="AC136" s="207"/>
      <c r="AD136" s="207"/>
      <c r="AE136" s="207"/>
      <c r="AF136" s="17"/>
      <c r="AG136" s="17"/>
      <c r="AH136" s="215"/>
      <c r="AI136" s="216"/>
      <c r="AJ136" s="217"/>
      <c r="AK136" s="210"/>
      <c r="AL136" s="210"/>
      <c r="AM136" s="210"/>
      <c r="AN136" s="218"/>
      <c r="AO136" s="210"/>
      <c r="AP136" s="219"/>
      <c r="AQ136" s="220"/>
      <c r="AR136" s="219"/>
      <c r="AS136" s="221"/>
      <c r="AT136" s="221"/>
      <c r="AU136" s="222"/>
      <c r="AV136" s="222"/>
      <c r="AW136" s="223"/>
      <c r="AX136" s="223"/>
      <c r="AY136" s="206"/>
      <c r="AZ136" s="224"/>
      <c r="BA136" s="219"/>
      <c r="BB136" s="219"/>
      <c r="BC136" s="219"/>
      <c r="BD136" s="219"/>
      <c r="BE136" s="219"/>
      <c r="BF136" s="219"/>
      <c r="BG136" s="219"/>
      <c r="BH136" s="219"/>
      <c r="BI136" s="219"/>
      <c r="BJ136" s="225"/>
      <c r="BK136" s="225"/>
      <c r="BL136" s="234"/>
      <c r="BM136" s="234"/>
      <c r="BN136" s="31"/>
      <c r="BO136" s="32"/>
      <c r="BP136" s="32"/>
      <c r="BQ136" s="32"/>
      <c r="BR136" s="32"/>
      <c r="BS136" s="32"/>
      <c r="BT136" s="32"/>
    </row>
  </sheetData>
  <customSheetViews>
    <customSheetView guid="{16A77DD8-B4AF-4DC1-BADA-9F450A5CC0A7}" filter="1" showAutoFilter="1">
      <autoFilter ref="$B$4:$AZ$113"/>
    </customSheetView>
    <customSheetView guid="{675F3DF2-44DD-497D-98CA-3C10FB386C95}" filter="1" showAutoFilter="1">
      <autoFilter ref="$A$4:$BT$132">
        <filterColumn colId="4">
          <filters>
            <filter val="MP-CIND-ROD-EST FEIJ O-PORTO FELIZ RURAL"/>
          </filters>
        </filterColumn>
      </autoFilter>
    </customSheetView>
    <customSheetView guid="{B100B79F-8789-4C01-9386-D3CEB6F39D64}" filter="1" showAutoFilter="1">
      <autoFilter ref="$A$4:$BT$136">
        <filterColumn colId="6">
          <filters blank="1">
            <filter val="ENERGIZADA"/>
          </filters>
        </filterColumn>
      </autoFilter>
    </customSheetView>
    <customSheetView guid="{D5C2A8B5-33A9-4EC5-8782-47B18965D54F}" filter="1" showAutoFilter="1">
      <autoFilter ref="$B$4:$BN$113">
        <filterColumn colId="9">
          <filters>
            <filter val="MANOEL GUSTAVO OLIVEIRA DOS S CONCEICAO - U464710"/>
            <filter val="RICARDO SANTOS DE BRITO - U465100"/>
            <filter val="RAFAEL SANTOS DA CRUZ - U469504"/>
            <filter val="NATALICIO MENDES DA SILVA - U107662"/>
            <filter val="DAIANE ALMEIDA DO NASCIMENTO - U345247"/>
            <filter val="ANDERSON ROBERTO DA SILVA CASTRO - U471407"/>
            <filter val="NAILTON SANTANA PEREIRA FILHO - U344575"/>
          </filters>
        </filterColumn>
      </autoFilter>
    </customSheetView>
    <customSheetView guid="{941F1DC7-A4D1-4A47-B07C-9F9980B91937}" filter="1" showAutoFilter="1">
      <autoFilter ref="$A$4:$BR$113"/>
    </customSheetView>
    <customSheetView guid="{88BF03F9-A857-49DB-B6C2-C94AB5F03FD0}" filter="1" showAutoFilter="1">
      <autoFilter ref="$B$4:$BN$113">
        <filterColumn colId="12">
          <filters blank="1">
            <filter val="16/12/25"/>
            <filter val="20/11/25"/>
            <filter val="27/11/25"/>
            <filter val="17/12/25"/>
            <filter val="21/11/25"/>
            <filter val="22/11/25"/>
            <filter val="19/12/25"/>
            <filter val="19/11/25"/>
            <filter val="23/12/25"/>
            <filter val="18/11/25"/>
            <filter val="24/11/25"/>
            <filter val="OK"/>
            <filter val="18/12/25"/>
          </filters>
        </filterColumn>
      </autoFilter>
    </customSheetView>
    <customSheetView guid="{F895B085-6CC2-4ABF-9753-E0466EFB8513}" filter="1" showAutoFilter="1">
      <autoFilter ref="$B$4:$AZ$113"/>
    </customSheetView>
    <customSheetView guid="{677A84DB-6ADA-47C5-AF03-82CD5A37879F}" filter="1" showAutoFilter="1">
      <autoFilter ref="$A$4:$BN$113">
        <filterColumn colId="6">
          <filters blank="1">
            <filter val="ENERGIZADA"/>
          </filters>
        </filterColumn>
      </autoFilter>
    </customSheetView>
    <customSheetView guid="{B83BCCE7-8166-4018-A26F-41B63253B006}" filter="1" showAutoFilter="1">
      <autoFilter ref="$A$4:$BT$132">
        <filterColumn colId="4">
          <filters>
            <filter val="ER-CIND-RUA-AYRTON SENNA 72-RURAL"/>
            <filter val="ER-CIND-FAZ-SITIO 641-RURAL"/>
            <filter val="RR-CIND-FAZ-BRASILEIRO 9999 B-CAICARA"/>
          </filters>
        </filterColumn>
      </autoFilter>
    </customSheetView>
    <customSheetView guid="{C39A4092-40AA-4ECF-975F-107A5E13615A}" filter="1" showAutoFilter="1">
      <autoFilter ref="$B$4:$BN$113"/>
    </customSheetView>
    <customSheetView guid="{49862277-0B5D-4FB2-9F6A-073F49D2976A}" filter="1" showAutoFilter="1">
      <autoFilter ref="$A$4:$BK$113">
        <filterColumn colId="6">
          <filters>
            <filter val="ENERGIZADA"/>
          </filters>
        </filterColumn>
        <sortState ref="A4:BK113">
          <sortCondition descending="1" ref="Q4:Q113"/>
        </sortState>
      </autoFilter>
    </customSheetView>
    <customSheetView guid="{8D149EEA-5E81-4E50-B209-18C149599FDB}" filter="1" showAutoFilter="1">
      <autoFilter ref="$B$4:$BK$113">
        <filterColumn colId="5">
          <filters blank="1">
            <filter val="ENERGIZADA"/>
          </filters>
        </filterColumn>
      </autoFilter>
    </customSheetView>
    <customSheetView guid="{ADF1A625-8591-4694-B499-25F55BE5D555}" filter="1" showAutoFilter="1">
      <autoFilter ref="$A$4:$BR$113"/>
    </customSheetView>
    <customSheetView guid="{981EEA94-EFD8-451F-A1FE-7FC08DA18AB1}" filter="1" showAutoFilter="1">
      <autoFilter ref="$B$4:$BN$113">
        <filterColumn colId="5">
          <filters>
            <filter val="ENERGIZADA"/>
          </filters>
        </filterColumn>
      </autoFilter>
    </customSheetView>
    <customSheetView guid="{9D0B389F-B4FA-435D-866B-74BA04343AE2}" filter="1" showAutoFilter="1">
      <autoFilter ref="$B$4:$AZ$113">
        <filterColumn colId="5">
          <filters blank="1">
            <filter val="ENERGIZADA"/>
          </filters>
        </filterColumn>
      </autoFilter>
    </customSheetView>
    <customSheetView guid="{83D32205-562F-4991-95AA-5511EE3C8ED8}" filter="1" showAutoFilter="1">
      <autoFilter ref="$B$4:$BK$113"/>
    </customSheetView>
    <customSheetView guid="{08130FF8-AD9F-4EB3-9789-0769F9EBFE4B}" filter="1" showAutoFilter="1">
      <autoFilter ref="$B$4:$BN$113">
        <filterColumn colId="4">
          <filters>
            <filter val="MIGUEL CALMON"/>
          </filters>
        </filterColumn>
      </autoFilter>
    </customSheetView>
    <customSheetView guid="{CF77F75F-8BE2-4D22-8039-81D2128A1098}" filter="1" showAutoFilter="1">
      <autoFilter ref="$A$4:$BR$113"/>
    </customSheetView>
  </customSheetViews>
  <conditionalFormatting sqref="E70">
    <cfRule type="expression" dxfId="3" priority="1">
      <formula>COUNTIF(B:B,E70)&gt;1</formula>
    </cfRule>
  </conditionalFormatting>
  <conditionalFormatting sqref="B84:D85 E85 B88:D89 E89">
    <cfRule type="expression" dxfId="2" priority="2">
      <formula>COUNTIF(G:G,D84)&gt;1</formula>
    </cfRule>
  </conditionalFormatting>
  <conditionalFormatting sqref="B79:D83">
    <cfRule type="expression" dxfId="2" priority="3">
      <formula>COUNTIF(G:G,D79)&gt;1</formula>
    </cfRule>
  </conditionalFormatting>
  <conditionalFormatting sqref="C5:D113">
    <cfRule type="expression" dxfId="2" priority="4">
      <formula>COUNTIF(#REF!,C5)&gt;1</formula>
    </cfRule>
  </conditionalFormatting>
  <conditionalFormatting sqref="C5:D113">
    <cfRule type="expression" dxfId="2" priority="5">
      <formula>COUNTIF(#REF!,C5)&gt;1</formula>
    </cfRule>
  </conditionalFormatting>
  <conditionalFormatting sqref="C5:D113">
    <cfRule type="expression" dxfId="2" priority="6">
      <formula>COUNTIF(#REF!,C5)&gt;1</formula>
    </cfRule>
  </conditionalFormatting>
  <conditionalFormatting sqref="A1:A2 C1:D113 B2:B47 AC3:AH3 A4 E43 B49:B113 E85 E89 L90">
    <cfRule type="expression" dxfId="3" priority="7">
      <formula>COUNTIF(A:A,A1)&gt;1</formula>
    </cfRule>
  </conditionalFormatting>
  <conditionalFormatting sqref="BA1:BA136">
    <cfRule type="containsText" dxfId="4" priority="8" operator="containsText" text="09">
      <formula>NOT(ISERROR(SEARCH(("09"),(BA1))))</formula>
    </cfRule>
  </conditionalFormatting>
  <conditionalFormatting sqref="BG1:BH136">
    <cfRule type="cellIs" dxfId="5" priority="9" operator="greaterThan">
      <formula>1200</formula>
    </cfRule>
  </conditionalFormatting>
  <conditionalFormatting sqref="BG1:BH136">
    <cfRule type="cellIs" dxfId="5" priority="10" operator="greaterThan">
      <formula>1200</formula>
    </cfRule>
  </conditionalFormatting>
  <conditionalFormatting sqref="T1:T136 W10:W12 W27 W29:W30 W35 W43 W51:W52 W64 W75 W84:W85 W88:W92 W99 W103">
    <cfRule type="colorScale" priority="11">
      <colorScale>
        <cfvo type="min"/>
        <cfvo type="max"/>
        <color rgb="FFEA9999"/>
        <color rgb="FFFFFFFF"/>
      </colorScale>
    </cfRule>
  </conditionalFormatting>
  <conditionalFormatting sqref="T1:T136 W10:W12 W27 W29:W30 W35 W43 W51:W52 W64 W75 W82:W83 W90:W92 W99 W103">
    <cfRule type="colorScale" priority="12">
      <colorScale>
        <cfvo type="min"/>
        <cfvo type="max"/>
        <color rgb="FFEA9999"/>
        <color rgb="FFFFFFFF"/>
      </colorScale>
    </cfRule>
  </conditionalFormatting>
  <conditionalFormatting sqref="T1:T136 W10:W12 W27 W29:W30 W35 W43 W51:W52 W64 W75 W79:W81 W90:W92 W99 W103">
    <cfRule type="colorScale" priority="13">
      <colorScale>
        <cfvo type="min"/>
        <cfvo type="max"/>
        <color rgb="FFEA9999"/>
        <color rgb="FFFFFFFF"/>
      </colorScale>
    </cfRule>
  </conditionalFormatting>
  <conditionalFormatting sqref="T1:T136 W10:W12 W27 W29:W30 W35 W43 W51:W52 W64 W75:W78 W90:W92 W99 W103">
    <cfRule type="colorScale" priority="14">
      <colorScale>
        <cfvo type="min"/>
        <cfvo type="max"/>
        <color rgb="FFEA9999"/>
        <color rgb="FFFFFFFF"/>
      </colorScale>
    </cfRule>
  </conditionalFormatting>
  <conditionalFormatting sqref="T1:T136 W10:W12 W27 W29:W30 W35 W43 W51:W52 W64 W72:W75 W90:W92 W99 W103">
    <cfRule type="colorScale" priority="15">
      <colorScale>
        <cfvo type="min"/>
        <cfvo type="max"/>
        <color rgb="FFEA9999"/>
        <color rgb="FFFFFFFF"/>
      </colorScale>
    </cfRule>
  </conditionalFormatting>
  <conditionalFormatting sqref="T1:T136 W10:W12 W27 W29:W30 W35 W43 W51:W52 W64 W69:W71 W75 W90:W92 W99 W103">
    <cfRule type="colorScale" priority="16">
      <colorScale>
        <cfvo type="min"/>
        <cfvo type="max"/>
        <color rgb="FFEA9999"/>
        <color rgb="FFFFFFFF"/>
      </colorScale>
    </cfRule>
  </conditionalFormatting>
  <conditionalFormatting sqref="T1:T136 W10:W12 W27 W29:W30 W35 W43 W51:W52 W64 W68 W75 W90:W92 W99 W103">
    <cfRule type="colorScale" priority="17">
      <colorScale>
        <cfvo type="min"/>
        <cfvo type="max"/>
        <color rgb="FFEA9999"/>
        <color rgb="FFFFFFFF"/>
      </colorScale>
    </cfRule>
  </conditionalFormatting>
  <conditionalFormatting sqref="T1:T136 W10:W12 W27 W29:W30 W35 W43 W51:W52 W64 W67 W75 W90:W92 W99 W103">
    <cfRule type="colorScale" priority="18">
      <colorScale>
        <cfvo type="min"/>
        <cfvo type="max"/>
        <color rgb="FFEA9999"/>
        <color rgb="FFFFFFFF"/>
      </colorScale>
    </cfRule>
  </conditionalFormatting>
  <conditionalFormatting sqref="T1:T136 W10:W12 W27 W29:W30 W35 W43 W51:W52 W64 W66 W75 W90:W92 W99 W103">
    <cfRule type="colorScale" priority="19">
      <colorScale>
        <cfvo type="min"/>
        <cfvo type="max"/>
        <color rgb="FFEA9999"/>
        <color rgb="FFFFFFFF"/>
      </colorScale>
    </cfRule>
  </conditionalFormatting>
  <conditionalFormatting sqref="W1:W136">
    <cfRule type="colorScale" priority="20">
      <colorScale>
        <cfvo type="min"/>
        <cfvo type="max"/>
        <color rgb="FFEA9999"/>
        <color rgb="FFFFFFFF"/>
      </colorScale>
    </cfRule>
  </conditionalFormatting>
  <conditionalFormatting sqref="S1:S136 V1:V136 X1:X136 BK8 BJ90 BK91:BK103 T93:T94 U93:U103 T98 T100:T101">
    <cfRule type="containsText" dxfId="6" priority="21" operator="containsText" text="CRIAR">
      <formula>NOT(ISERROR(SEARCH(("CRIAR"),(S1))))</formula>
    </cfRule>
  </conditionalFormatting>
  <conditionalFormatting sqref="AA1:AA136">
    <cfRule type="containsText" dxfId="6" priority="22" operator="containsText" text="CRIAR">
      <formula>NOT(ISERROR(SEARCH(("CRIAR"),(AA1))))</formula>
    </cfRule>
  </conditionalFormatting>
  <dataValidations>
    <dataValidation type="list" allowBlank="1" showErrorMessage="1" sqref="K10 K55:K58 K75 K77">
      <formula1>"ANTONIO ALBERTO GALINDO DE MELO - U470154,DAIANE ALMEIDA DO NASCIMENTO - U345247,DANILO COSTA SILVA - U464917,MANOEL GUSTAVO OLIVEIRA DOS S CONCEICAO - U464710,NAILTON SANTANA PEREIRA FILHO - U344575,NATALICIO MENDES DA SILVA - U107662,RAFAEL SANTOS DA CR"&amp;"UZ - U469504,RICARDO SANTOS DE BRITO - U465100,WELLINGTON RIBEIRO SOUZA - U470124,DIORLAN REIS - U352259 ,ERIC TEIXEIRA OLIVEIRA BARBOSA - U361045,ANDERSON ROBERTO DA SILVA CASTRO - U471407,LUDIMILA BARBOSA DE OLIVEIRA - U464746"</formula1>
    </dataValidation>
    <dataValidation type="list" allowBlank="1" showErrorMessage="1" sqref="K5:K9 K11:K54 K59:K74 K76 K78:K113">
      <formula1>"ANTONIO ALBERTO GALINDO DE MELO - U470154,DAIANE ALMEIDA DO NASCIMENTO - U345247,DANILO COSTA SILVA - U464917,MANOEL GUSTAVO OLIVEIRA DOS S CONCEICAO - U464710,NAILTON SANTANA PEREIRA FILHO - U344575,NATALICIO MENDES DA SILVA - U107662,RAFAEL SANTOS DA CR"&amp;"UZ - U469504,RICARDO SANTOS DE BRITO - U465100,WELLINGTON RIBEIRO SOUZA - U470124,DIORLAN REIS - U352259 ,ERIC TEIXEIRA OLIVEIRA BARBOSA - U361045,ANDERSON ROBERTO DA SILVA CASTRO - U471407"</formula1>
    </dataValidation>
    <dataValidation type="list" allowBlank="1" showErrorMessage="1" sqref="I5:I113">
      <formula1>"DOUGLAS DA SILVA MELO - MRA666519,EMERSON DE CARVALHO SILVA - MRA152590,JULIO SERAFIM DAMACENO DOS SANTOS - MRA738523,FABIANO LOPES DE MORAES - MRA554506,JAILTON DA SILVA - MRA811574,GERALDO DA COSTA GOMES - MRA571535,LUCIANO NUNES DA SILVA - MRA252517,RO"&amp;"DRIGO SANTOS SILVA - MRA096553,CARLOS DA CRUZ SANTANA - MRA258541,CLEBSON REIS NETO - MRA148601,DIOGO CRUZ DOS SANTOS - MRA177595,JAIR DE JESUS - NTS219592,FRANCISCO GOES DE JESUS - NTS260555,CAIQUE SILVA LIMA - MRA219559"</formula1>
    </dataValidation>
    <dataValidation type="list" allowBlank="1" showErrorMessage="1" sqref="G5:G113">
      <formula1>"ENERGIZADA,CANCELADA,RETIRADA DA CARTEIRA,PARALISADA,EM EXECUÇÃO,PROGRAMADA"</formula1>
    </dataValidation>
    <dataValidation type="list" allowBlank="1" showErrorMessage="1" sqref="Z5:Z113">
      <formula1>"EMISSÃO,APROVADA,ANÁLISE,CANCELAR,SOLICITAR,CANCELADA,REFAZER,REPROVADO,CONCLUÍDA ,EM ATENDIMENTO,RETIRADA DA CARTEIRA,AGUARDANDO VISITA"</formula1>
    </dataValidation>
  </dataValidations>
  <hyperlinks>
    <hyperlink r:id="rId2" ref="F2"/>
    <hyperlink r:id="rId3" ref="AQ3"/>
    <hyperlink r:id="rId4" location="gid=2059889745" ref="X4"/>
    <hyperlink r:id="rId5" ref="P5"/>
    <hyperlink r:id="rId6" ref="V5"/>
    <hyperlink r:id="rId7" ref="AQ5"/>
    <hyperlink r:id="rId8" ref="P6"/>
    <hyperlink r:id="rId9" ref="V6"/>
    <hyperlink r:id="rId10" ref="AQ6"/>
    <hyperlink r:id="rId11" ref="P7"/>
    <hyperlink r:id="rId12" ref="V7"/>
    <hyperlink r:id="rId13" ref="AQ7"/>
    <hyperlink r:id="rId14" ref="P8"/>
    <hyperlink r:id="rId15" ref="AQ8"/>
    <hyperlink r:id="rId16" ref="P10"/>
    <hyperlink r:id="rId17" ref="S10"/>
    <hyperlink r:id="rId18" ref="V10"/>
    <hyperlink r:id="rId19" ref="AQ10"/>
    <hyperlink r:id="rId20" ref="S11"/>
    <hyperlink r:id="rId21" ref="AQ11"/>
    <hyperlink r:id="rId22" ref="P12"/>
    <hyperlink r:id="rId23" ref="S12"/>
    <hyperlink r:id="rId24" ref="V12"/>
    <hyperlink r:id="rId25" ref="AQ12"/>
    <hyperlink r:id="rId26" ref="P13"/>
    <hyperlink r:id="rId27" ref="S13"/>
    <hyperlink r:id="rId28" ref="U13"/>
    <hyperlink r:id="rId29" ref="V13"/>
    <hyperlink r:id="rId30" ref="AQ13"/>
    <hyperlink r:id="rId31" ref="P14"/>
    <hyperlink r:id="rId32" ref="S14"/>
    <hyperlink r:id="rId33" ref="X14"/>
    <hyperlink r:id="rId34" ref="AQ14"/>
    <hyperlink r:id="rId35" ref="P15"/>
    <hyperlink r:id="rId36" ref="S15"/>
    <hyperlink r:id="rId37" ref="V15"/>
    <hyperlink r:id="rId38" ref="X15"/>
    <hyperlink r:id="rId39" ref="AQ15"/>
    <hyperlink r:id="rId40" ref="P16"/>
    <hyperlink r:id="rId41" ref="S16"/>
    <hyperlink r:id="rId42" ref="V16"/>
    <hyperlink r:id="rId43" ref="AQ16"/>
    <hyperlink r:id="rId44" ref="P17"/>
    <hyperlink r:id="rId45" ref="S17"/>
    <hyperlink r:id="rId46" ref="V17"/>
    <hyperlink r:id="rId47" ref="AQ17"/>
    <hyperlink r:id="rId48" ref="P18"/>
    <hyperlink r:id="rId49" ref="S18"/>
    <hyperlink r:id="rId50" ref="X18"/>
    <hyperlink r:id="rId51" ref="AQ18"/>
    <hyperlink r:id="rId52" ref="P19"/>
    <hyperlink r:id="rId53" ref="S19"/>
    <hyperlink r:id="rId54" ref="V19"/>
    <hyperlink r:id="rId55" ref="AQ19"/>
    <hyperlink r:id="rId56" ref="AQ20"/>
    <hyperlink r:id="rId57" ref="P21"/>
    <hyperlink r:id="rId58" ref="V21"/>
    <hyperlink r:id="rId59" ref="AQ21"/>
    <hyperlink r:id="rId60" ref="P22"/>
    <hyperlink r:id="rId61" ref="V22"/>
    <hyperlink r:id="rId62" ref="AQ22"/>
    <hyperlink r:id="rId63" ref="AQ23"/>
    <hyperlink r:id="rId64" ref="P24"/>
    <hyperlink r:id="rId65" ref="S24"/>
    <hyperlink r:id="rId66" ref="AQ24"/>
    <hyperlink r:id="rId67" ref="P25"/>
    <hyperlink r:id="rId68" ref="AQ25"/>
    <hyperlink r:id="rId69" ref="P26"/>
    <hyperlink r:id="rId70" ref="V26"/>
    <hyperlink r:id="rId71" ref="AQ26"/>
    <hyperlink r:id="rId72" ref="P27"/>
    <hyperlink r:id="rId73" ref="AQ27"/>
    <hyperlink r:id="rId74" ref="P28"/>
    <hyperlink r:id="rId75" ref="V28"/>
    <hyperlink r:id="rId76" ref="AQ28"/>
    <hyperlink r:id="rId77" ref="P29"/>
    <hyperlink r:id="rId78" ref="S29"/>
    <hyperlink r:id="rId79" ref="AQ29"/>
    <hyperlink r:id="rId80" ref="P30"/>
    <hyperlink r:id="rId81" ref="S30"/>
    <hyperlink r:id="rId82" ref="AQ30"/>
    <hyperlink r:id="rId83" ref="P31"/>
    <hyperlink r:id="rId84" ref="S31"/>
    <hyperlink r:id="rId85" ref="V31"/>
    <hyperlink r:id="rId86" ref="AQ31"/>
    <hyperlink r:id="rId87" ref="AQ32"/>
    <hyperlink r:id="rId88" ref="P33"/>
    <hyperlink r:id="rId89" ref="S33"/>
    <hyperlink r:id="rId90" ref="AQ33"/>
    <hyperlink r:id="rId91" ref="P34"/>
    <hyperlink r:id="rId92" ref="S34"/>
    <hyperlink r:id="rId93" ref="AQ34"/>
    <hyperlink r:id="rId94" ref="P35"/>
    <hyperlink r:id="rId95" ref="S35"/>
    <hyperlink r:id="rId96" ref="AQ35"/>
    <hyperlink r:id="rId97" ref="P36"/>
    <hyperlink r:id="rId98" ref="S36"/>
    <hyperlink r:id="rId99" ref="AQ36"/>
    <hyperlink r:id="rId100" ref="P37"/>
    <hyperlink r:id="rId101" ref="V37"/>
    <hyperlink r:id="rId102" ref="AQ37"/>
    <hyperlink r:id="rId103" ref="P38"/>
    <hyperlink r:id="rId104" ref="V38"/>
    <hyperlink r:id="rId105" ref="AQ38"/>
    <hyperlink r:id="rId106" ref="P39"/>
    <hyperlink r:id="rId107" ref="S39"/>
    <hyperlink r:id="rId108" ref="AQ39"/>
    <hyperlink r:id="rId109" ref="P40"/>
    <hyperlink r:id="rId110" ref="AQ40"/>
    <hyperlink r:id="rId111" ref="P41"/>
    <hyperlink r:id="rId112" ref="V41"/>
    <hyperlink r:id="rId113" ref="AQ41"/>
    <hyperlink r:id="rId114" ref="P42"/>
    <hyperlink r:id="rId115" ref="V42"/>
    <hyperlink r:id="rId116" ref="AQ42"/>
    <hyperlink r:id="rId117" ref="P43"/>
    <hyperlink r:id="rId118" ref="V43"/>
    <hyperlink r:id="rId119" ref="AQ43"/>
    <hyperlink r:id="rId120" ref="P44"/>
    <hyperlink r:id="rId121" ref="S44"/>
    <hyperlink r:id="rId122" ref="AQ44"/>
    <hyperlink r:id="rId123" ref="P45"/>
    <hyperlink r:id="rId124" ref="V45"/>
    <hyperlink r:id="rId125" ref="AQ45"/>
    <hyperlink r:id="rId126" ref="P46"/>
    <hyperlink r:id="rId127" ref="S46"/>
    <hyperlink r:id="rId128" ref="AQ46"/>
    <hyperlink r:id="rId129" ref="P47"/>
    <hyperlink r:id="rId130" ref="X47"/>
    <hyperlink r:id="rId131" ref="AQ47"/>
    <hyperlink r:id="rId132" ref="P48"/>
    <hyperlink r:id="rId133" ref="S48"/>
    <hyperlink r:id="rId134" ref="V48"/>
    <hyperlink r:id="rId135" ref="AQ48"/>
    <hyperlink r:id="rId136" ref="P49"/>
    <hyperlink r:id="rId137" ref="AQ49"/>
    <hyperlink r:id="rId138" ref="P50"/>
    <hyperlink r:id="rId139" ref="V50"/>
    <hyperlink r:id="rId140" ref="AQ50"/>
    <hyperlink r:id="rId141" ref="P51"/>
    <hyperlink r:id="rId142" ref="V51"/>
    <hyperlink r:id="rId143" ref="AQ51"/>
    <hyperlink r:id="rId144" ref="P52"/>
    <hyperlink r:id="rId145" ref="V52"/>
    <hyperlink r:id="rId146" ref="AQ52"/>
    <hyperlink r:id="rId147" ref="P53"/>
    <hyperlink r:id="rId148" ref="S53"/>
    <hyperlink r:id="rId149" ref="V53"/>
    <hyperlink r:id="rId150" ref="AQ53"/>
    <hyperlink r:id="rId151" ref="P54"/>
    <hyperlink r:id="rId152" ref="S54"/>
    <hyperlink r:id="rId153" ref="U54"/>
    <hyperlink r:id="rId154" ref="X54"/>
    <hyperlink r:id="rId155" ref="AQ54"/>
    <hyperlink r:id="rId156" ref="P55"/>
    <hyperlink r:id="rId157" ref="S55"/>
    <hyperlink r:id="rId158" ref="U55"/>
    <hyperlink r:id="rId159" ref="V55"/>
    <hyperlink r:id="rId160" ref="AQ55"/>
    <hyperlink r:id="rId161" ref="S56"/>
    <hyperlink r:id="rId162" ref="V56"/>
    <hyperlink r:id="rId163" ref="X56"/>
    <hyperlink r:id="rId164" ref="AQ56"/>
    <hyperlink r:id="rId165" ref="P57"/>
    <hyperlink r:id="rId166" ref="S57"/>
    <hyperlink r:id="rId167" ref="U57"/>
    <hyperlink r:id="rId168" ref="V57"/>
    <hyperlink r:id="rId169" ref="AQ57"/>
    <hyperlink r:id="rId170" ref="P58"/>
    <hyperlink r:id="rId171" ref="S58"/>
    <hyperlink r:id="rId172" ref="U58"/>
    <hyperlink r:id="rId173" ref="AQ58"/>
    <hyperlink r:id="rId174" ref="P59"/>
    <hyperlink r:id="rId175" ref="S59"/>
    <hyperlink r:id="rId176" ref="V59"/>
    <hyperlink r:id="rId177" ref="AQ59"/>
    <hyperlink r:id="rId178" ref="P60"/>
    <hyperlink r:id="rId179" ref="S60"/>
    <hyperlink r:id="rId180" ref="V60"/>
    <hyperlink r:id="rId181" ref="AQ60"/>
    <hyperlink r:id="rId182" ref="P61"/>
    <hyperlink r:id="rId183" ref="S61"/>
    <hyperlink r:id="rId184" ref="V61"/>
    <hyperlink r:id="rId185" ref="AQ61"/>
    <hyperlink r:id="rId186" ref="P62"/>
    <hyperlink r:id="rId187" ref="S62"/>
    <hyperlink r:id="rId188" ref="V62"/>
    <hyperlink r:id="rId189" ref="AQ62"/>
    <hyperlink r:id="rId190" ref="P63"/>
    <hyperlink r:id="rId191" ref="V63"/>
    <hyperlink r:id="rId192" ref="AQ63"/>
    <hyperlink r:id="rId193" ref="P64"/>
    <hyperlink r:id="rId194" ref="S64"/>
    <hyperlink r:id="rId195" ref="V64"/>
    <hyperlink r:id="rId196" ref="AQ64"/>
    <hyperlink r:id="rId197" ref="P65"/>
    <hyperlink r:id="rId198" ref="S65"/>
    <hyperlink r:id="rId199" ref="AQ65"/>
    <hyperlink r:id="rId200" ref="P66"/>
    <hyperlink r:id="rId201" ref="S66"/>
    <hyperlink r:id="rId202" ref="AQ66"/>
    <hyperlink r:id="rId203" ref="P67"/>
    <hyperlink r:id="rId204" ref="S67"/>
    <hyperlink r:id="rId205" ref="U67"/>
    <hyperlink r:id="rId206" ref="X67"/>
    <hyperlink r:id="rId207" ref="AQ67"/>
    <hyperlink r:id="rId208" ref="P68"/>
    <hyperlink r:id="rId209" ref="S68"/>
    <hyperlink r:id="rId210" ref="X68"/>
    <hyperlink r:id="rId211" ref="AQ68"/>
    <hyperlink r:id="rId212" ref="P69"/>
    <hyperlink r:id="rId213" ref="S69"/>
    <hyperlink r:id="rId214" ref="V69"/>
    <hyperlink r:id="rId215" ref="AQ69"/>
    <hyperlink r:id="rId216" ref="P70"/>
    <hyperlink r:id="rId217" ref="S70"/>
    <hyperlink r:id="rId218" ref="AQ70"/>
    <hyperlink r:id="rId219" ref="P71"/>
    <hyperlink r:id="rId220" ref="AQ71"/>
    <hyperlink r:id="rId221" ref="P72"/>
    <hyperlink r:id="rId222" ref="S72"/>
    <hyperlink r:id="rId223" ref="U72"/>
    <hyperlink r:id="rId224" ref="AQ72"/>
    <hyperlink r:id="rId225" ref="P73"/>
    <hyperlink r:id="rId226" ref="V73"/>
    <hyperlink r:id="rId227" ref="AQ73"/>
    <hyperlink r:id="rId228" ref="P74"/>
    <hyperlink r:id="rId229" ref="S74"/>
    <hyperlink r:id="rId230" ref="V74"/>
    <hyperlink r:id="rId231" ref="AQ74"/>
    <hyperlink r:id="rId232" ref="P75"/>
    <hyperlink r:id="rId233" ref="S75"/>
    <hyperlink r:id="rId234" ref="V75"/>
    <hyperlink r:id="rId235" ref="AQ75"/>
    <hyperlink r:id="rId236" ref="P76"/>
    <hyperlink r:id="rId237" ref="S76"/>
    <hyperlink r:id="rId238" ref="V76"/>
    <hyperlink r:id="rId239" ref="AQ76"/>
    <hyperlink r:id="rId240" ref="P77"/>
    <hyperlink r:id="rId241" ref="S77"/>
    <hyperlink r:id="rId242" ref="V77"/>
    <hyperlink r:id="rId243" ref="AQ77"/>
    <hyperlink r:id="rId244" ref="P78"/>
    <hyperlink r:id="rId245" ref="S78"/>
    <hyperlink r:id="rId246" ref="U78"/>
    <hyperlink r:id="rId247" ref="AQ78"/>
    <hyperlink r:id="rId248" ref="P79"/>
    <hyperlink r:id="rId249" ref="V79"/>
    <hyperlink r:id="rId250" ref="AQ79"/>
    <hyperlink r:id="rId251" ref="P80"/>
    <hyperlink r:id="rId252" ref="V80"/>
    <hyperlink r:id="rId253" ref="AQ80"/>
    <hyperlink r:id="rId254" ref="P81"/>
    <hyperlink r:id="rId255" ref="AQ81"/>
    <hyperlink r:id="rId256" ref="P82"/>
    <hyperlink r:id="rId257" ref="V82"/>
    <hyperlink r:id="rId258" ref="AQ82"/>
    <hyperlink r:id="rId259" ref="P83"/>
    <hyperlink r:id="rId260" ref="S83"/>
    <hyperlink r:id="rId261" ref="AQ83"/>
    <hyperlink r:id="rId262" ref="P84"/>
    <hyperlink r:id="rId263" ref="V84"/>
    <hyperlink r:id="rId264" ref="AQ84"/>
    <hyperlink r:id="rId265" ref="AQ85"/>
    <hyperlink r:id="rId266" ref="P86"/>
    <hyperlink r:id="rId267" ref="V86"/>
    <hyperlink r:id="rId268" ref="AQ86"/>
    <hyperlink r:id="rId269" ref="P87"/>
    <hyperlink r:id="rId270" ref="V87"/>
    <hyperlink r:id="rId271" ref="AQ87"/>
    <hyperlink r:id="rId272" ref="P88"/>
    <hyperlink r:id="rId273" ref="S88"/>
    <hyperlink r:id="rId274" ref="V88"/>
    <hyperlink r:id="rId275" ref="AQ88"/>
    <hyperlink r:id="rId276" ref="P89"/>
    <hyperlink r:id="rId277" ref="V89"/>
    <hyperlink r:id="rId278" ref="AQ89"/>
    <hyperlink r:id="rId279" ref="P90"/>
    <hyperlink r:id="rId280" ref="S90"/>
    <hyperlink r:id="rId281" ref="V90"/>
    <hyperlink r:id="rId282" ref="AQ90"/>
    <hyperlink r:id="rId283" ref="P91"/>
    <hyperlink r:id="rId284" ref="V91"/>
    <hyperlink r:id="rId285" ref="AQ91"/>
    <hyperlink r:id="rId286" ref="P92"/>
    <hyperlink r:id="rId287" ref="S92"/>
    <hyperlink r:id="rId288" ref="V92"/>
    <hyperlink r:id="rId289" ref="AQ92"/>
    <hyperlink r:id="rId290" ref="P93"/>
    <hyperlink r:id="rId291" ref="AQ93"/>
    <hyperlink r:id="rId292" ref="P94"/>
    <hyperlink r:id="rId293" ref="V94"/>
    <hyperlink r:id="rId294" ref="AQ94"/>
    <hyperlink r:id="rId295" ref="P95"/>
    <hyperlink r:id="rId296" ref="V95"/>
    <hyperlink r:id="rId297" ref="AQ95"/>
    <hyperlink r:id="rId298" ref="P96"/>
    <hyperlink r:id="rId299" ref="V96"/>
    <hyperlink r:id="rId300" ref="AQ96"/>
    <hyperlink r:id="rId301" ref="P97"/>
    <hyperlink r:id="rId302" ref="S97"/>
    <hyperlink r:id="rId303" ref="AQ97"/>
    <hyperlink r:id="rId304" ref="P98"/>
    <hyperlink r:id="rId305" ref="V98"/>
    <hyperlink r:id="rId306" ref="AQ98"/>
    <hyperlink r:id="rId307" ref="P99"/>
    <hyperlink r:id="rId308" ref="S99"/>
    <hyperlink r:id="rId309" ref="V99"/>
    <hyperlink r:id="rId310" ref="AQ99"/>
    <hyperlink r:id="rId311" ref="P100"/>
    <hyperlink r:id="rId312" ref="V100"/>
    <hyperlink r:id="rId313" ref="AQ100"/>
    <hyperlink r:id="rId314" ref="P101"/>
    <hyperlink r:id="rId315" ref="V101"/>
    <hyperlink r:id="rId316" ref="AQ101"/>
    <hyperlink r:id="rId317" ref="P102"/>
    <hyperlink r:id="rId318" ref="S102"/>
    <hyperlink r:id="rId319" ref="V102"/>
    <hyperlink r:id="rId320" ref="AQ102"/>
    <hyperlink r:id="rId321" ref="P103"/>
    <hyperlink r:id="rId322" ref="S103"/>
    <hyperlink r:id="rId323" ref="V103"/>
    <hyperlink r:id="rId324" ref="AQ103"/>
    <hyperlink r:id="rId325" ref="P104"/>
    <hyperlink r:id="rId326" ref="AQ104"/>
  </hyperlinks>
  <printOptions horizontalCentered="1" verticalCentered="1"/>
  <pageMargins bottom="0.511811024" footer="0.0" header="0.0" left="0.787401575" right="0.787401575" top="0.511811024"/>
  <pageSetup paperSize="9" scale="85" orientation="landscape"/>
  <drawing r:id="rId327"/>
  <legacyDrawing r:id="rId328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0.43"/>
    <col customWidth="1" min="2" max="2" width="57.0"/>
    <col customWidth="1" min="3" max="3" width="12.71"/>
    <col customWidth="1" min="4" max="4" width="25.14"/>
    <col customWidth="1" min="5" max="5" width="19.0"/>
    <col customWidth="1" min="6" max="6" width="51.0"/>
    <col customWidth="1" min="8" max="8" width="51.29"/>
  </cols>
  <sheetData>
    <row r="1">
      <c r="A1" s="538" t="s">
        <v>2774</v>
      </c>
      <c r="B1" s="539" t="s">
        <v>2775</v>
      </c>
      <c r="C1" s="539" t="s">
        <v>2776</v>
      </c>
      <c r="D1" s="539" t="s">
        <v>2777</v>
      </c>
      <c r="E1" s="539" t="s">
        <v>2778</v>
      </c>
      <c r="F1" s="540" t="s">
        <v>2779</v>
      </c>
    </row>
    <row r="2">
      <c r="A2" s="541">
        <v>27970.0</v>
      </c>
      <c r="B2" s="542" t="s">
        <v>682</v>
      </c>
      <c r="C2" s="543">
        <v>2349.0</v>
      </c>
      <c r="D2" s="544" t="s">
        <v>2780</v>
      </c>
      <c r="E2" s="545" t="s">
        <v>2781</v>
      </c>
      <c r="F2" s="546" t="s">
        <v>720</v>
      </c>
      <c r="G2" s="547">
        <v>1.0</v>
      </c>
    </row>
    <row r="3">
      <c r="A3" s="548">
        <v>27567.0</v>
      </c>
      <c r="B3" s="549" t="s">
        <v>733</v>
      </c>
      <c r="C3" s="550">
        <v>2303.0</v>
      </c>
      <c r="D3" s="551" t="s">
        <v>2782</v>
      </c>
      <c r="E3" s="552" t="s">
        <v>2781</v>
      </c>
      <c r="F3" s="553" t="s">
        <v>720</v>
      </c>
      <c r="G3" s="547">
        <v>2.0</v>
      </c>
    </row>
    <row r="4">
      <c r="A4" s="548">
        <v>27483.0</v>
      </c>
      <c r="B4" s="549" t="s">
        <v>512</v>
      </c>
      <c r="C4" s="550">
        <v>2299.0</v>
      </c>
      <c r="D4" s="551" t="s">
        <v>2783</v>
      </c>
      <c r="E4" s="552" t="s">
        <v>2781</v>
      </c>
      <c r="F4" s="553" t="s">
        <v>720</v>
      </c>
      <c r="G4" s="547">
        <v>3.0</v>
      </c>
      <c r="H4" s="554"/>
    </row>
    <row r="5">
      <c r="A5" s="555">
        <v>27906.0</v>
      </c>
      <c r="B5" s="549" t="s">
        <v>412</v>
      </c>
      <c r="C5" s="550">
        <v>2332.0</v>
      </c>
      <c r="D5" s="551" t="s">
        <v>2784</v>
      </c>
      <c r="E5" s="552" t="s">
        <v>2781</v>
      </c>
      <c r="F5" s="553" t="s">
        <v>720</v>
      </c>
      <c r="G5" s="547">
        <v>4.0</v>
      </c>
      <c r="H5" s="556"/>
    </row>
    <row r="6">
      <c r="A6" s="548">
        <v>27426.0</v>
      </c>
      <c r="B6" s="549" t="s">
        <v>805</v>
      </c>
      <c r="C6" s="550">
        <v>2302.0</v>
      </c>
      <c r="D6" s="551" t="s">
        <v>2785</v>
      </c>
      <c r="E6" s="552" t="s">
        <v>2781</v>
      </c>
      <c r="F6" s="553" t="s">
        <v>720</v>
      </c>
      <c r="G6" s="547">
        <v>5.0</v>
      </c>
      <c r="H6" s="556"/>
    </row>
    <row r="7">
      <c r="A7" s="548">
        <v>27489.0</v>
      </c>
      <c r="B7" s="549" t="s">
        <v>965</v>
      </c>
      <c r="C7" s="550">
        <v>2301.0</v>
      </c>
      <c r="D7" s="551" t="s">
        <v>2786</v>
      </c>
      <c r="E7" s="552" t="s">
        <v>2781</v>
      </c>
      <c r="F7" s="553" t="s">
        <v>720</v>
      </c>
      <c r="G7" s="547">
        <v>6.0</v>
      </c>
      <c r="H7" s="556"/>
    </row>
    <row r="8">
      <c r="A8" s="548">
        <v>27560.0</v>
      </c>
      <c r="B8" s="549" t="s">
        <v>2166</v>
      </c>
      <c r="C8" s="550">
        <v>2339.0</v>
      </c>
      <c r="D8" s="551" t="s">
        <v>2787</v>
      </c>
      <c r="E8" s="552" t="s">
        <v>2781</v>
      </c>
      <c r="F8" s="553" t="s">
        <v>720</v>
      </c>
      <c r="G8" s="547">
        <v>7.0</v>
      </c>
      <c r="H8" s="556"/>
    </row>
    <row r="9">
      <c r="A9" s="557"/>
      <c r="B9" s="558"/>
      <c r="C9" s="559"/>
      <c r="D9" s="560"/>
      <c r="E9" s="561"/>
      <c r="F9" s="562"/>
      <c r="G9" s="547"/>
      <c r="H9" s="556"/>
    </row>
    <row r="10">
      <c r="A10" s="557">
        <v>27591.0</v>
      </c>
      <c r="B10" s="558" t="s">
        <v>496</v>
      </c>
      <c r="C10" s="559">
        <v>2300.0</v>
      </c>
      <c r="D10" s="560" t="s">
        <v>2788</v>
      </c>
      <c r="E10" s="561" t="s">
        <v>2781</v>
      </c>
      <c r="F10" s="562" t="s">
        <v>720</v>
      </c>
      <c r="G10" s="547">
        <v>8.0</v>
      </c>
      <c r="H10" s="556"/>
    </row>
    <row r="11">
      <c r="A11" s="563">
        <v>23810.0</v>
      </c>
      <c r="B11" s="542" t="s">
        <v>584</v>
      </c>
      <c r="C11" s="564">
        <v>2381.0</v>
      </c>
      <c r="D11" s="565" t="s">
        <v>2789</v>
      </c>
      <c r="E11" s="545" t="s">
        <v>2781</v>
      </c>
      <c r="F11" s="566" t="s">
        <v>634</v>
      </c>
      <c r="G11" s="547">
        <v>1.0</v>
      </c>
      <c r="H11" s="567"/>
    </row>
    <row r="12">
      <c r="A12" s="548">
        <v>27675.0</v>
      </c>
      <c r="B12" s="549" t="s">
        <v>417</v>
      </c>
      <c r="C12" s="550">
        <v>2304.0</v>
      </c>
      <c r="D12" s="551" t="s">
        <v>2790</v>
      </c>
      <c r="E12" s="552" t="s">
        <v>2781</v>
      </c>
      <c r="F12" s="553" t="s">
        <v>634</v>
      </c>
      <c r="G12" s="547">
        <v>2.0</v>
      </c>
      <c r="H12" s="567"/>
    </row>
    <row r="13">
      <c r="A13" s="548">
        <v>27780.0</v>
      </c>
      <c r="B13" s="549" t="s">
        <v>459</v>
      </c>
      <c r="C13" s="550">
        <v>2326.0</v>
      </c>
      <c r="D13" s="551" t="s">
        <v>2791</v>
      </c>
      <c r="E13" s="552" t="s">
        <v>2781</v>
      </c>
      <c r="F13" s="568" t="s">
        <v>634</v>
      </c>
      <c r="G13" s="547">
        <v>3.0</v>
      </c>
    </row>
    <row r="14">
      <c r="A14" s="569">
        <v>27943.0</v>
      </c>
      <c r="B14" s="570" t="s">
        <v>773</v>
      </c>
      <c r="C14" s="571">
        <v>2305.0</v>
      </c>
      <c r="D14" s="572" t="s">
        <v>2792</v>
      </c>
      <c r="E14" s="573" t="s">
        <v>2781</v>
      </c>
      <c r="F14" s="574" t="s">
        <v>634</v>
      </c>
      <c r="G14" s="547">
        <v>4.0</v>
      </c>
    </row>
    <row r="15">
      <c r="A15" s="575">
        <v>27565.0</v>
      </c>
      <c r="B15" s="549" t="s">
        <v>2793</v>
      </c>
      <c r="C15" s="576">
        <v>2363.0</v>
      </c>
      <c r="D15" s="577" t="s">
        <v>2794</v>
      </c>
      <c r="E15" s="552" t="s">
        <v>2781</v>
      </c>
      <c r="F15" s="553" t="s">
        <v>720</v>
      </c>
    </row>
    <row r="16">
      <c r="A16" s="555">
        <v>27946.0</v>
      </c>
      <c r="B16" s="549" t="s">
        <v>2795</v>
      </c>
      <c r="C16" s="550">
        <v>2333.0</v>
      </c>
      <c r="D16" s="578" t="s">
        <v>2796</v>
      </c>
      <c r="E16" s="552" t="s">
        <v>2781</v>
      </c>
      <c r="F16" s="553" t="s">
        <v>720</v>
      </c>
    </row>
    <row r="17">
      <c r="A17" s="557">
        <v>27487.0</v>
      </c>
      <c r="B17" s="561" t="s">
        <v>2797</v>
      </c>
      <c r="C17" s="559">
        <v>2340.0</v>
      </c>
      <c r="D17" s="560" t="s">
        <v>2798</v>
      </c>
      <c r="E17" s="561" t="s">
        <v>2781</v>
      </c>
      <c r="F17" s="562" t="s">
        <v>720</v>
      </c>
    </row>
    <row r="18">
      <c r="A18" s="548">
        <v>28051.0</v>
      </c>
      <c r="B18" s="549" t="s">
        <v>2799</v>
      </c>
      <c r="C18" s="579">
        <v>2368.0</v>
      </c>
      <c r="D18" s="551" t="s">
        <v>2800</v>
      </c>
      <c r="E18" s="552" t="s">
        <v>2781</v>
      </c>
      <c r="F18" s="553" t="s">
        <v>720</v>
      </c>
    </row>
    <row r="19">
      <c r="A19" s="569"/>
      <c r="B19" s="570" t="s">
        <v>2801</v>
      </c>
      <c r="C19" s="580">
        <v>2368.0</v>
      </c>
      <c r="D19" s="572" t="s">
        <v>2800</v>
      </c>
      <c r="E19" s="573" t="s">
        <v>2781</v>
      </c>
      <c r="F19" s="574" t="s">
        <v>634</v>
      </c>
    </row>
    <row r="22">
      <c r="B22" s="581" t="s">
        <v>2802</v>
      </c>
    </row>
    <row r="23">
      <c r="A23" s="582">
        <v>27873.0</v>
      </c>
      <c r="B23" s="542" t="s">
        <v>2803</v>
      </c>
      <c r="C23" s="543">
        <v>2330.0</v>
      </c>
      <c r="D23" s="544" t="s">
        <v>2804</v>
      </c>
      <c r="E23" s="545" t="s">
        <v>2781</v>
      </c>
      <c r="F23" s="566" t="s">
        <v>634</v>
      </c>
    </row>
  </sheetData>
  <autoFilter ref="$A$1:$F$19">
    <sortState ref="A1:F19">
      <sortCondition ref="F1:F19"/>
      <sortCondition ref="B1:B19"/>
    </sortState>
  </autoFilter>
  <dataValidations>
    <dataValidation type="list" allowBlank="1" showErrorMessage="1" sqref="H5:H12">
      <formula1>"ANTONIO ALBERTO GALINDO DE MELO - U470154,DAIANE ALMEIDA DO NASCIMENTO - U345247,DANILO COSTA SILVA - U464917,MANOEL GUSTAVO OLIVEIRA DOS S CONCEICAO - U464710,NAILTON SANTANA PEREIRA FILHO - U460544,NATALICIO MENDES DA SILVA - U107662,RAFAEL SANTOS DA CR"&amp;"UZ - U469504,U465100 - RICARDO SANTOS DE BRITO ,U470124 - WELLINGTON RIBEIRO SOUZA"</formula1>
    </dataValidation>
  </dataValidations>
  <drawing r:id="rId1"/>
</worksheet>
</file>